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EXPORT" sheetId="1" r:id="rId1"/>
    <sheet name="LOCAL" sheetId="3" r:id="rId2"/>
    <sheet name="DEPENSES" sheetId="4" r:id="rId3"/>
    <sheet name="SALAIRES" sheetId="5" r:id="rId4"/>
  </sheets>
  <definedNames>
    <definedName name="_xlnm._FilterDatabase" localSheetId="2" hidden="1">DEPENSES!$A$7:$I$136</definedName>
    <definedName name="_xlnm._FilterDatabase" localSheetId="0" hidden="1">EXPORT!$A$5:$J$34</definedName>
    <definedName name="_xlnm._FilterDatabase" localSheetId="1" hidden="1">LOCAL!$A$5:$I$34</definedName>
    <definedName name="_xlnm._FilterDatabase" localSheetId="3" hidden="1">SALAIRES!$A$7:$H$199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5" l="1"/>
  <c r="H9" i="4"/>
  <c r="H10" i="4"/>
  <c r="H11" i="4"/>
  <c r="H12" i="4"/>
  <c r="H5" i="4" s="1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8" i="4"/>
  <c r="G9" i="4"/>
  <c r="G10" i="4"/>
  <c r="G11" i="4"/>
  <c r="G12" i="4"/>
  <c r="G5" i="4" s="1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8" i="4"/>
  <c r="G5" i="5"/>
  <c r="D5" i="5"/>
  <c r="H72" i="5"/>
  <c r="H69" i="5"/>
  <c r="H59" i="5"/>
  <c r="H57" i="5"/>
  <c r="H56" i="5"/>
  <c r="H144" i="5"/>
  <c r="H139" i="5"/>
  <c r="H137" i="5"/>
  <c r="H136" i="5"/>
  <c r="H27" i="5"/>
  <c r="H24" i="5"/>
  <c r="H117" i="5"/>
  <c r="H112" i="5"/>
  <c r="H107" i="5"/>
  <c r="H105" i="5"/>
  <c r="H104" i="5"/>
  <c r="H101" i="5"/>
  <c r="H96" i="5"/>
  <c r="H91" i="5"/>
  <c r="H89" i="5"/>
  <c r="H88" i="5"/>
  <c r="H11" i="5"/>
  <c r="H8" i="5"/>
  <c r="H181" i="5"/>
  <c r="H176" i="5"/>
  <c r="H171" i="5"/>
  <c r="H169" i="5"/>
  <c r="H168" i="5"/>
  <c r="H165" i="5"/>
  <c r="H160" i="5"/>
  <c r="H155" i="5"/>
  <c r="H153" i="5"/>
  <c r="H152" i="5"/>
  <c r="H43" i="5"/>
  <c r="H40" i="5"/>
  <c r="F5" i="4"/>
  <c r="M3" i="1"/>
  <c r="H3" i="3"/>
  <c r="L17" i="3"/>
  <c r="L7" i="3"/>
  <c r="L8" i="3"/>
  <c r="L9" i="3"/>
  <c r="L10" i="3"/>
  <c r="L11" i="3"/>
  <c r="L12" i="3"/>
  <c r="L13" i="3"/>
  <c r="L14" i="3"/>
  <c r="L15" i="3"/>
  <c r="L16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6" i="3"/>
  <c r="J14" i="3"/>
  <c r="J28" i="3"/>
  <c r="J7" i="3"/>
  <c r="J8" i="3"/>
  <c r="J9" i="3"/>
  <c r="J11" i="3"/>
  <c r="J12" i="3"/>
  <c r="J13" i="3"/>
  <c r="J15" i="3"/>
  <c r="J16" i="3"/>
  <c r="J19" i="3"/>
  <c r="J20" i="3"/>
  <c r="J22" i="3"/>
  <c r="J24" i="3"/>
  <c r="J25" i="3"/>
  <c r="J26" i="3"/>
  <c r="J27" i="3"/>
  <c r="J30" i="3"/>
  <c r="J31" i="3"/>
  <c r="J32" i="3"/>
  <c r="J34" i="3"/>
  <c r="I34" i="3"/>
  <c r="I33" i="3"/>
  <c r="J33" i="3" s="1"/>
  <c r="I32" i="3"/>
  <c r="I31" i="3"/>
  <c r="I30" i="3"/>
  <c r="I29" i="3"/>
  <c r="J29" i="3" s="1"/>
  <c r="I28" i="3"/>
  <c r="I27" i="3"/>
  <c r="I26" i="3"/>
  <c r="I25" i="3"/>
  <c r="I24" i="3"/>
  <c r="I23" i="3"/>
  <c r="J23" i="3" s="1"/>
  <c r="I7" i="3"/>
  <c r="I8" i="3"/>
  <c r="I9" i="3"/>
  <c r="I10" i="3"/>
  <c r="J10" i="3" s="1"/>
  <c r="I11" i="3"/>
  <c r="I12" i="3"/>
  <c r="I13" i="3"/>
  <c r="I14" i="3"/>
  <c r="I15" i="3"/>
  <c r="I16" i="3"/>
  <c r="I17" i="3"/>
  <c r="J17" i="3" s="1"/>
  <c r="I18" i="3"/>
  <c r="J18" i="3" s="1"/>
  <c r="I19" i="3"/>
  <c r="I20" i="3"/>
  <c r="I21" i="3"/>
  <c r="J21" i="3" s="1"/>
  <c r="I22" i="3"/>
  <c r="I6" i="3"/>
  <c r="J6" i="3" s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" i="1" s="1"/>
  <c r="L6" i="1"/>
  <c r="K3" i="1"/>
  <c r="H3" i="1"/>
  <c r="H48" i="5" l="1"/>
  <c r="H16" i="5"/>
  <c r="H41" i="5"/>
  <c r="H9" i="5"/>
  <c r="H25" i="5"/>
  <c r="H149" i="5"/>
  <c r="H32" i="5"/>
  <c r="H53" i="5"/>
  <c r="H21" i="5"/>
  <c r="H37" i="5"/>
  <c r="H167" i="5"/>
  <c r="H183" i="5"/>
  <c r="H199" i="5"/>
  <c r="H103" i="5"/>
  <c r="H119" i="5"/>
  <c r="H135" i="5"/>
  <c r="H151" i="5"/>
  <c r="H71" i="5"/>
  <c r="H87" i="5"/>
  <c r="H55" i="5"/>
  <c r="H23" i="5"/>
  <c r="H39" i="5"/>
  <c r="H54" i="5"/>
  <c r="H166" i="5"/>
  <c r="H182" i="5"/>
  <c r="H22" i="5"/>
  <c r="H102" i="5"/>
  <c r="H118" i="5"/>
  <c r="H38" i="5"/>
  <c r="H150" i="5"/>
  <c r="H70" i="5"/>
  <c r="H196" i="5"/>
  <c r="H116" i="5"/>
  <c r="H132" i="5"/>
  <c r="H68" i="5"/>
  <c r="H84" i="5"/>
  <c r="H52" i="5"/>
  <c r="H164" i="5"/>
  <c r="H180" i="5"/>
  <c r="H20" i="5"/>
  <c r="H36" i="5"/>
  <c r="H100" i="5"/>
  <c r="H148" i="5"/>
  <c r="H51" i="5"/>
  <c r="H163" i="5"/>
  <c r="H19" i="5"/>
  <c r="H99" i="5"/>
  <c r="H35" i="5"/>
  <c r="H147" i="5"/>
  <c r="H179" i="5"/>
  <c r="H115" i="5"/>
  <c r="H67" i="5"/>
  <c r="H18" i="5"/>
  <c r="H98" i="5"/>
  <c r="H34" i="5"/>
  <c r="H146" i="5"/>
  <c r="H162" i="5"/>
  <c r="H50" i="5"/>
  <c r="H178" i="5"/>
  <c r="H114" i="5"/>
  <c r="H49" i="5"/>
  <c r="H97" i="5"/>
  <c r="H145" i="5"/>
  <c r="H161" i="5"/>
  <c r="H17" i="5"/>
  <c r="H113" i="5"/>
  <c r="H177" i="5"/>
  <c r="H65" i="5"/>
  <c r="H33" i="5"/>
  <c r="H193" i="5"/>
  <c r="H129" i="5"/>
  <c r="H81" i="5"/>
  <c r="H143" i="5"/>
  <c r="H63" i="5"/>
  <c r="H95" i="5"/>
  <c r="H47" i="5"/>
  <c r="H175" i="5"/>
  <c r="H111" i="5"/>
  <c r="H31" i="5"/>
  <c r="H79" i="5"/>
  <c r="H15" i="5"/>
  <c r="H159" i="5"/>
  <c r="H191" i="5"/>
  <c r="H127" i="5"/>
  <c r="H46" i="5"/>
  <c r="H158" i="5"/>
  <c r="H174" i="5"/>
  <c r="H14" i="5"/>
  <c r="H94" i="5"/>
  <c r="H110" i="5"/>
  <c r="H30" i="5"/>
  <c r="H142" i="5"/>
  <c r="H62" i="5"/>
  <c r="H157" i="5"/>
  <c r="H173" i="5"/>
  <c r="H13" i="5"/>
  <c r="H93" i="5"/>
  <c r="H141" i="5"/>
  <c r="H109" i="5"/>
  <c r="H61" i="5"/>
  <c r="H45" i="5"/>
  <c r="H29" i="5"/>
  <c r="H60" i="5"/>
  <c r="H156" i="5"/>
  <c r="H108" i="5"/>
  <c r="H44" i="5"/>
  <c r="H172" i="5"/>
  <c r="H92" i="5"/>
  <c r="H140" i="5"/>
  <c r="H12" i="5"/>
  <c r="H28" i="5"/>
  <c r="H42" i="5"/>
  <c r="H154" i="5"/>
  <c r="H170" i="5"/>
  <c r="H26" i="5"/>
  <c r="H90" i="5"/>
  <c r="H138" i="5"/>
  <c r="H10" i="5"/>
  <c r="H106" i="5"/>
  <c r="H80" i="5"/>
  <c r="H188" i="5"/>
  <c r="H186" i="5"/>
  <c r="H194" i="5"/>
  <c r="H192" i="5"/>
  <c r="H124" i="5"/>
  <c r="H122" i="5"/>
  <c r="H130" i="5"/>
  <c r="H128" i="5"/>
  <c r="H66" i="5"/>
  <c r="H64" i="5"/>
  <c r="H76" i="5"/>
  <c r="H74" i="5"/>
  <c r="H82" i="5"/>
  <c r="H85" i="5"/>
  <c r="H195" i="5"/>
  <c r="H189" i="5"/>
  <c r="H185" i="5"/>
  <c r="H197" i="5"/>
  <c r="H131" i="5"/>
  <c r="H125" i="5"/>
  <c r="H121" i="5"/>
  <c r="H133" i="5"/>
  <c r="H83" i="5"/>
  <c r="H77" i="5"/>
  <c r="H73" i="5"/>
  <c r="H75" i="5"/>
  <c r="H198" i="5"/>
  <c r="H190" i="5"/>
  <c r="H184" i="5"/>
  <c r="H187" i="5"/>
  <c r="H134" i="5"/>
  <c r="H126" i="5"/>
  <c r="H120" i="5"/>
  <c r="H123" i="5"/>
  <c r="H86" i="5"/>
  <c r="H78" i="5"/>
  <c r="E5" i="5"/>
  <c r="K3" i="3"/>
  <c r="I3" i="3"/>
  <c r="J3" i="3"/>
  <c r="J3" i="1"/>
  <c r="F5" i="5" l="1"/>
  <c r="H58" i="5"/>
  <c r="H5" i="5" s="1"/>
</calcChain>
</file>

<file path=xl/sharedStrings.xml><?xml version="1.0" encoding="utf-8"?>
<sst xmlns="http://schemas.openxmlformats.org/spreadsheetml/2006/main" count="1630" uniqueCount="128">
  <si>
    <t>EUR / TND</t>
  </si>
  <si>
    <t>N°</t>
  </si>
  <si>
    <t>DATE</t>
  </si>
  <si>
    <t>N° FCT</t>
  </si>
  <si>
    <t>CA €</t>
  </si>
  <si>
    <t>tx conv</t>
  </si>
  <si>
    <t>CA TND</t>
  </si>
  <si>
    <t>Base de données Chiffre d'affaires  étrangers exercice 2023</t>
  </si>
  <si>
    <t>BAQUILA</t>
  </si>
  <si>
    <t>CLIENTS ETRANGERS</t>
  </si>
  <si>
    <t>MAXIBIMAX</t>
  </si>
  <si>
    <t>DELTA BETA</t>
  </si>
  <si>
    <t>K.WEST INGENIEURIE</t>
  </si>
  <si>
    <t>TRIPARTIE TRAVAUX</t>
  </si>
  <si>
    <t>PAYS</t>
  </si>
  <si>
    <t>Belgique</t>
  </si>
  <si>
    <t>29/02/23</t>
  </si>
  <si>
    <t>32/10/2023</t>
  </si>
  <si>
    <t>23/13/23</t>
  </si>
  <si>
    <t>23/05/2023</t>
  </si>
  <si>
    <t>23/08/2023</t>
  </si>
  <si>
    <t>02/02/2023</t>
  </si>
  <si>
    <t>25/05/2023</t>
  </si>
  <si>
    <t>21/11/20 23</t>
  </si>
  <si>
    <t>France</t>
  </si>
  <si>
    <t>france</t>
  </si>
  <si>
    <t>departement</t>
  </si>
  <si>
    <t>FLUIDE</t>
  </si>
  <si>
    <t>GENI CIVIL</t>
  </si>
  <si>
    <t xml:space="preserve">ELECTRICITE
</t>
  </si>
  <si>
    <t>Recouvrement €</t>
  </si>
  <si>
    <t>Restant €</t>
  </si>
  <si>
    <t>Banque</t>
  </si>
  <si>
    <t>ZITOUNA €</t>
  </si>
  <si>
    <t>ZITOUNA TND</t>
  </si>
  <si>
    <t>BIAT €</t>
  </si>
  <si>
    <t>ATTIJARI TND</t>
  </si>
  <si>
    <t>BIAT TND</t>
  </si>
  <si>
    <t>BIAT</t>
  </si>
  <si>
    <t>Base de données Chiffre d'affaires  local exercice 2023</t>
  </si>
  <si>
    <t>Tunisie</t>
  </si>
  <si>
    <t>Date</t>
  </si>
  <si>
    <t>CLIENTS TUNISIENS</t>
  </si>
  <si>
    <t>Type</t>
  </si>
  <si>
    <t>Nom du client</t>
  </si>
  <si>
    <t>date</t>
  </si>
  <si>
    <t>NOM DU CLIENT</t>
  </si>
  <si>
    <t>AB BUILDING</t>
  </si>
  <si>
    <t>SPI DIAR JANNAH</t>
  </si>
  <si>
    <t>SALLE DE SPORT RED LINE</t>
  </si>
  <si>
    <t>BEN MAHDOUD PALACE</t>
  </si>
  <si>
    <t>HT</t>
  </si>
  <si>
    <t>tva 19%</t>
  </si>
  <si>
    <t>TTC</t>
  </si>
  <si>
    <t>RECOUVREMENT</t>
  </si>
  <si>
    <t>RESTANT</t>
  </si>
  <si>
    <t>TYPE DE DEPENSES</t>
  </si>
  <si>
    <t>TVA</t>
  </si>
  <si>
    <t>FOURNISSEUR</t>
  </si>
  <si>
    <t>OOREDOO</t>
  </si>
  <si>
    <t>internet + TELECOM</t>
  </si>
  <si>
    <t>ORANGE</t>
  </si>
  <si>
    <t>ELECTRICITE ET GAZ</t>
  </si>
  <si>
    <t>STEG</t>
  </si>
  <si>
    <t>ENNASR IMMOBILIERE</t>
  </si>
  <si>
    <t>ANG CONSULTING</t>
  </si>
  <si>
    <t>HONORAIRES DAF EXTERNE</t>
  </si>
  <si>
    <t>BIM-STAR</t>
  </si>
  <si>
    <t>SOUSTRAITANCE</t>
  </si>
  <si>
    <t>SOFTSTREAM</t>
  </si>
  <si>
    <t>SERCICES INFORMATIQUES</t>
  </si>
  <si>
    <t>AGIL</t>
  </si>
  <si>
    <t>CARBURANT</t>
  </si>
  <si>
    <t>MYTEK</t>
  </si>
  <si>
    <t xml:space="preserve">ACHATS PC </t>
  </si>
  <si>
    <t>HBK INTER CONTINENTALE</t>
  </si>
  <si>
    <t>FORMATION</t>
  </si>
  <si>
    <t>GLOBAL INGENIERIE</t>
  </si>
  <si>
    <t>OFFICE MASTER</t>
  </si>
  <si>
    <t>FOURNITURES BUREAUTIQUES</t>
  </si>
  <si>
    <t>ENTRETIEN VOITURE</t>
  </si>
  <si>
    <t>AUTOSURE</t>
  </si>
  <si>
    <t>REGLEMENT</t>
  </si>
  <si>
    <t>SALARIE</t>
  </si>
  <si>
    <t>SARA</t>
  </si>
  <si>
    <t>LOBNA</t>
  </si>
  <si>
    <t>MAJDI</t>
  </si>
  <si>
    <t>FAWZI</t>
  </si>
  <si>
    <t>ALIYA</t>
  </si>
  <si>
    <t>MARIEM</t>
  </si>
  <si>
    <t>SALMA</t>
  </si>
  <si>
    <t>ABIR</t>
  </si>
  <si>
    <t>HAMED</t>
  </si>
  <si>
    <t>AYMEN</t>
  </si>
  <si>
    <t>ISSAM</t>
  </si>
  <si>
    <t>HATEM</t>
  </si>
  <si>
    <t>RIADH</t>
  </si>
  <si>
    <t>FAYZA</t>
  </si>
  <si>
    <t>ZEINEB</t>
  </si>
  <si>
    <t>YASMINE</t>
  </si>
  <si>
    <t>MOIS</t>
  </si>
  <si>
    <t>JANVIER</t>
  </si>
  <si>
    <t>MARS</t>
  </si>
  <si>
    <t>AVRIL</t>
  </si>
  <si>
    <t>MAI</t>
  </si>
  <si>
    <t>JUIN</t>
  </si>
  <si>
    <t>JUILLET</t>
  </si>
  <si>
    <t>SEPTEMBRE</t>
  </si>
  <si>
    <t>OCTOBRE</t>
  </si>
  <si>
    <t>NOVEMBRE</t>
  </si>
  <si>
    <t>SALAIRE NET</t>
  </si>
  <si>
    <t>CNSS</t>
  </si>
  <si>
    <t>FISCAL</t>
  </si>
  <si>
    <t>TICKET RESTO</t>
  </si>
  <si>
    <t>FEVRIER</t>
  </si>
  <si>
    <t>AOUT</t>
  </si>
  <si>
    <t>DECEMBRE</t>
  </si>
  <si>
    <t>Perte de change</t>
  </si>
  <si>
    <t>espece</t>
  </si>
  <si>
    <t>DEPARTEMENT</t>
  </si>
  <si>
    <t>ELEC</t>
  </si>
  <si>
    <t>GCIVILE</t>
  </si>
  <si>
    <t>LOYER</t>
  </si>
  <si>
    <t>AKILDUOS</t>
  </si>
  <si>
    <t>COUT TOTAL</t>
  </si>
  <si>
    <t>Base de données Dépenses sur factues exercice 2023</t>
  </si>
  <si>
    <t>banque</t>
  </si>
  <si>
    <t>Base de données charges salariale exercice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</si>
</sst>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* #,##0.00\ &quot;DT&quot;_-;\-* #,##0.00\ &quot;DT&quot;_-;_-* &quot;-&quot;??\ &quot;DT&quot;_-;_-@_-"/>
    <numFmt numFmtId="43" formatCode="_-* #,##0.00\ _D_T_-;\-* #,##0.00\ _D_T_-;_-* &quot;-&quot;??\ _D_T_-;_-@_-"/>
    <numFmt numFmtId="165" formatCode="_-* #,##0_-;\-* #,##0_-;_-* &quot;-&quot;??_-;_-@_-"/>
    <numFmt numFmtId="166" formatCode="_-* #,##0.00\ [$€-40C]_-;\-* #,##0.00\ [$€-40C]_-;_-* &quot;-&quot;??\ [$€-40C]_-;_-@_-"/>
    <numFmt numFmtId="167" formatCode="_-* #,##0.0000_-;\-* #,##0.0000_-;_-* &quot;-&quot;??_-;_-@_-"/>
    <numFmt numFmtId="168" formatCode="_-* #,##0\ &quot;DT&quot;_-;\-* #,##0\ &quot;DT&quot;_-;_-* &quot;-&quot;??\ &quot;DT&quot;_-;_-@_-"/>
    <numFmt numFmtId="169" formatCode="_-* #,##0.000\ &quot;DT&quot;_-;\-* #,##0.000\ &quot;DT&quot;_-;_-* &quot;-&quot;??\ &quot;DT&quot;_-;_-@_-"/>
    <numFmt numFmtId="171" formatCode="_-* #,##0.000\ &quot;DT&quot;_-;\-* #,##0.000\ &quot;DT&quot;_-;_-* &quot;-&quot;???\ &quot;DT&quot;_-;_-@_-"/>
    <numFmt numFmtId="173" formatCode="_-* #,##0.000\ _D_T_-;\-* #,##0.000\ _D_T_-;_-* &quot;-&quot;??\ _D_T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u/>
      <sz val="18"/>
      <color rgb="FFC00000"/>
      <name val="Cambria"/>
      <family val="1"/>
    </font>
    <font>
      <b/>
      <i/>
      <u/>
      <sz val="11"/>
      <color theme="0"/>
      <name val="Calibri"/>
      <family val="2"/>
      <scheme val="minor"/>
    </font>
    <font>
      <b/>
      <i/>
      <u/>
      <sz val="10"/>
      <color theme="0"/>
      <name val="Calibri"/>
      <family val="2"/>
      <scheme val="minor"/>
    </font>
    <font>
      <b/>
      <i/>
      <u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i/>
      <u/>
      <sz val="11"/>
      <color theme="0"/>
      <name val="Calibri"/>
      <family val="2"/>
      <scheme val="minor"/>
    </font>
    <font>
      <i/>
      <u/>
      <sz val="10"/>
      <color theme="0"/>
      <name val="Calibri"/>
      <family val="2"/>
      <scheme val="minor"/>
    </font>
    <font>
      <sz val="11"/>
      <color theme="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theme="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800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6" fontId="8" fillId="2" borderId="1" xfId="2" applyNumberFormat="1" applyFont="1" applyFill="1" applyBorder="1" applyAlignment="1">
      <alignment horizontal="center" vertical="center"/>
    </xf>
    <xf numFmtId="167" fontId="8" fillId="2" borderId="1" xfId="1" applyNumberFormat="1" applyFont="1" applyFill="1" applyBorder="1" applyAlignment="1">
      <alignment horizontal="center" vertical="center"/>
    </xf>
    <xf numFmtId="168" fontId="8" fillId="2" borderId="1" xfId="2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11" fillId="3" borderId="1" xfId="2" applyNumberFormat="1" applyFont="1" applyFill="1" applyBorder="1" applyAlignment="1">
      <alignment vertical="center"/>
    </xf>
    <xf numFmtId="167" fontId="11" fillId="3" borderId="1" xfId="1" applyNumberFormat="1" applyFont="1" applyFill="1" applyBorder="1" applyAlignment="1">
      <alignment vertical="center"/>
    </xf>
    <xf numFmtId="14" fontId="7" fillId="2" borderId="2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/>
    </xf>
    <xf numFmtId="49" fontId="10" fillId="3" borderId="1" xfId="0" applyNumberFormat="1" applyFont="1" applyFill="1" applyBorder="1" applyAlignment="1">
      <alignment vertical="center" wrapText="1"/>
    </xf>
    <xf numFmtId="169" fontId="11" fillId="3" borderId="1" xfId="2" applyNumberFormat="1" applyFont="1" applyFill="1" applyBorder="1" applyAlignment="1">
      <alignment vertical="center"/>
    </xf>
    <xf numFmtId="165" fontId="7" fillId="7" borderId="2" xfId="1" applyNumberFormat="1" applyFont="1" applyFill="1" applyBorder="1" applyAlignment="1">
      <alignment horizontal="center" vertical="center" wrapText="1"/>
    </xf>
    <xf numFmtId="165" fontId="7" fillId="7" borderId="3" xfId="1" applyNumberFormat="1" applyFont="1" applyFill="1" applyBorder="1" applyAlignment="1">
      <alignment horizontal="center" vertical="center" wrapText="1"/>
    </xf>
    <xf numFmtId="165" fontId="7" fillId="7" borderId="3" xfId="1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4" fontId="13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6" fontId="14" fillId="3" borderId="0" xfId="2" applyNumberFormat="1" applyFont="1" applyFill="1" applyAlignment="1">
      <alignment vertical="center"/>
    </xf>
    <xf numFmtId="167" fontId="14" fillId="3" borderId="0" xfId="1" applyNumberFormat="1" applyFont="1" applyFill="1" applyAlignment="1">
      <alignment vertical="center"/>
    </xf>
    <xf numFmtId="169" fontId="14" fillId="3" borderId="0" xfId="2" applyNumberFormat="1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71" fontId="11" fillId="3" borderId="1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3" fontId="0" fillId="0" borderId="0" xfId="1" applyNumberFormat="1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73" fontId="0" fillId="0" borderId="1" xfId="1" applyNumberFormat="1" applyFont="1" applyBorder="1" applyAlignment="1">
      <alignment vertical="center"/>
    </xf>
    <xf numFmtId="14" fontId="9" fillId="8" borderId="1" xfId="0" applyNumberFormat="1" applyFont="1" applyFill="1" applyBorder="1" applyAlignment="1">
      <alignment horizontal="center" vertical="center"/>
    </xf>
    <xf numFmtId="171" fontId="9" fillId="8" borderId="1" xfId="1" applyNumberFormat="1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14" fontId="7" fillId="8" borderId="2" xfId="0" applyNumberFormat="1" applyFont="1" applyFill="1" applyBorder="1" applyAlignment="1">
      <alignment horizontal="center" vertical="center"/>
    </xf>
    <xf numFmtId="165" fontId="7" fillId="9" borderId="2" xfId="1" applyNumberFormat="1" applyFont="1" applyFill="1" applyBorder="1" applyAlignment="1">
      <alignment horizontal="center" vertical="center" wrapText="1"/>
    </xf>
    <xf numFmtId="165" fontId="7" fillId="9" borderId="3" xfId="1" applyNumberFormat="1" applyFont="1" applyFill="1" applyBorder="1" applyAlignment="1">
      <alignment horizontal="center" vertical="center" wrapText="1"/>
    </xf>
    <xf numFmtId="165" fontId="7" fillId="9" borderId="3" xfId="1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168" fontId="8" fillId="8" borderId="1" xfId="2" applyNumberFormat="1" applyFont="1" applyFill="1" applyBorder="1" applyAlignment="1">
      <alignment horizontal="center" vertical="center"/>
    </xf>
    <xf numFmtId="168" fontId="8" fillId="8" borderId="3" xfId="2" applyNumberFormat="1" applyFont="1" applyFill="1" applyBorder="1" applyAlignment="1">
      <alignment horizontal="center" vertical="center"/>
    </xf>
    <xf numFmtId="44" fontId="11" fillId="3" borderId="1" xfId="2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10" borderId="0" xfId="0" applyFont="1" applyFill="1"/>
    <xf numFmtId="173" fontId="4" fillId="10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173" fontId="2" fillId="5" borderId="0" xfId="1" applyNumberFormat="1" applyFont="1" applyFill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73" fontId="4" fillId="5" borderId="1" xfId="1" applyNumberFormat="1" applyFont="1" applyFill="1" applyBorder="1" applyAlignment="1">
      <alignment vertical="center"/>
    </xf>
    <xf numFmtId="0" fontId="4" fillId="10" borderId="1" xfId="0" applyFont="1" applyFill="1" applyBorder="1"/>
    <xf numFmtId="173" fontId="4" fillId="10" borderId="1" xfId="1" applyNumberFormat="1" applyFont="1" applyFill="1" applyBorder="1" applyAlignment="1">
      <alignment vertical="center"/>
    </xf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D24" sqref="D24"/>
    </sheetView>
  </sheetViews>
  <sheetFormatPr baseColWidth="10" defaultColWidth="9.140625" defaultRowHeight="14.25" x14ac:dyDescent="0.25"/>
  <cols>
    <col min="1" max="1" width="9.140625" style="31"/>
    <col min="2" max="3" width="14.42578125" style="31" customWidth="1"/>
    <col min="4" max="4" width="20.42578125" style="31" customWidth="1"/>
    <col min="5" max="5" width="25.7109375" style="31" customWidth="1"/>
    <col min="6" max="6" width="20.140625" style="31" customWidth="1"/>
    <col min="7" max="7" width="15.140625" style="31" customWidth="1"/>
    <col min="8" max="10" width="15" style="31" customWidth="1"/>
    <col min="11" max="13" width="20.28515625" style="31" customWidth="1"/>
    <col min="14" max="14" width="20.140625" style="31" customWidth="1"/>
    <col min="15" max="16384" width="9.140625" style="31"/>
  </cols>
  <sheetData>
    <row r="1" spans="1:14" ht="27.75" customHeight="1" x14ac:dyDescent="0.25">
      <c r="A1" s="30" t="s">
        <v>7</v>
      </c>
    </row>
    <row r="3" spans="1:14" ht="15" customHeight="1" x14ac:dyDescent="0.25">
      <c r="A3" s="2"/>
      <c r="B3" s="2"/>
      <c r="C3" s="12"/>
      <c r="D3" s="20"/>
      <c r="E3" s="21"/>
      <c r="F3" s="22"/>
      <c r="G3" s="3"/>
      <c r="H3" s="4">
        <f>SUM(H6:H34)</f>
        <v>406775.44999999995</v>
      </c>
      <c r="I3" s="5" t="s">
        <v>0</v>
      </c>
      <c r="J3" s="6">
        <f>SUM(J6:J34)</f>
        <v>1370914.6215900001</v>
      </c>
      <c r="K3" s="4">
        <f>SUM(K6:K34)</f>
        <v>328277.21999999997</v>
      </c>
      <c r="L3" s="4">
        <f>SUM(L6:L34)</f>
        <v>78498.23</v>
      </c>
      <c r="M3" s="6">
        <f>SUM(M6:M34)</f>
        <v>100959</v>
      </c>
      <c r="N3" s="22"/>
    </row>
    <row r="4" spans="1:14" s="29" customFormat="1" ht="6" customHeight="1" x14ac:dyDescent="0.25">
      <c r="A4" s="24"/>
      <c r="B4" s="24"/>
      <c r="C4" s="24"/>
      <c r="D4" s="23"/>
      <c r="E4" s="23"/>
      <c r="F4" s="23"/>
      <c r="G4" s="25"/>
      <c r="H4" s="26"/>
      <c r="I4" s="27"/>
      <c r="J4" s="28"/>
      <c r="N4" s="23"/>
    </row>
    <row r="5" spans="1:14" x14ac:dyDescent="0.25">
      <c r="A5" s="7" t="s">
        <v>1</v>
      </c>
      <c r="B5" s="7" t="s">
        <v>2</v>
      </c>
      <c r="C5" s="7" t="s">
        <v>14</v>
      </c>
      <c r="D5" s="7" t="s">
        <v>43</v>
      </c>
      <c r="E5" s="7" t="s">
        <v>44</v>
      </c>
      <c r="F5" s="7" t="s">
        <v>26</v>
      </c>
      <c r="G5" s="7" t="s">
        <v>3</v>
      </c>
      <c r="H5" s="7" t="s">
        <v>4</v>
      </c>
      <c r="I5" s="7" t="s">
        <v>5</v>
      </c>
      <c r="J5" s="7" t="s">
        <v>6</v>
      </c>
      <c r="K5" s="7" t="s">
        <v>30</v>
      </c>
      <c r="L5" s="7" t="s">
        <v>31</v>
      </c>
      <c r="M5" s="7" t="s">
        <v>117</v>
      </c>
      <c r="N5" s="7" t="s">
        <v>32</v>
      </c>
    </row>
    <row r="6" spans="1:14" ht="15" x14ac:dyDescent="0.25">
      <c r="A6" s="9">
        <v>1</v>
      </c>
      <c r="B6" s="8">
        <v>44939</v>
      </c>
      <c r="C6" s="8" t="s">
        <v>15</v>
      </c>
      <c r="D6" s="17" t="s">
        <v>9</v>
      </c>
      <c r="E6" s="17" t="s">
        <v>8</v>
      </c>
      <c r="F6" s="18" t="s">
        <v>27</v>
      </c>
      <c r="G6" s="9">
        <v>18173</v>
      </c>
      <c r="H6" s="10">
        <v>6000</v>
      </c>
      <c r="I6" s="11">
        <v>3.3702000000000001</v>
      </c>
      <c r="J6" s="19">
        <f>+H6*I6</f>
        <v>20221.2</v>
      </c>
      <c r="K6" s="10">
        <v>6000</v>
      </c>
      <c r="L6" s="10">
        <f>+H6-K6</f>
        <v>0</v>
      </c>
      <c r="M6" s="48">
        <v>3299</v>
      </c>
      <c r="N6" s="16" t="s">
        <v>36</v>
      </c>
    </row>
    <row r="7" spans="1:14" ht="15" x14ac:dyDescent="0.25">
      <c r="A7" s="9">
        <v>2</v>
      </c>
      <c r="B7" s="8">
        <v>44950</v>
      </c>
      <c r="C7" s="8" t="s">
        <v>24</v>
      </c>
      <c r="D7" s="17" t="s">
        <v>9</v>
      </c>
      <c r="E7" s="17" t="s">
        <v>13</v>
      </c>
      <c r="F7" s="18" t="s">
        <v>27</v>
      </c>
      <c r="G7" s="9">
        <v>18174</v>
      </c>
      <c r="H7" s="10">
        <v>33557.5</v>
      </c>
      <c r="I7" s="11">
        <v>3.3702000000000001</v>
      </c>
      <c r="J7" s="19">
        <f t="shared" ref="J7:J34" si="0">+H7*I7</f>
        <v>113095.4865</v>
      </c>
      <c r="K7" s="10">
        <v>33557.5</v>
      </c>
      <c r="L7" s="10">
        <f t="shared" ref="L7:L34" si="1">+H7-K7</f>
        <v>0</v>
      </c>
      <c r="M7" s="48">
        <v>3152</v>
      </c>
      <c r="N7" s="16" t="s">
        <v>36</v>
      </c>
    </row>
    <row r="8" spans="1:14" ht="15" x14ac:dyDescent="0.25">
      <c r="A8" s="9">
        <v>3</v>
      </c>
      <c r="B8" s="8">
        <v>44950</v>
      </c>
      <c r="C8" s="8" t="s">
        <v>25</v>
      </c>
      <c r="D8" s="17" t="s">
        <v>9</v>
      </c>
      <c r="E8" s="17" t="s">
        <v>11</v>
      </c>
      <c r="F8" s="18" t="s">
        <v>28</v>
      </c>
      <c r="G8" s="9">
        <v>18175</v>
      </c>
      <c r="H8" s="10">
        <v>1700</v>
      </c>
      <c r="I8" s="11">
        <v>3.3702000000000001</v>
      </c>
      <c r="J8" s="19">
        <f t="shared" si="0"/>
        <v>5729.34</v>
      </c>
      <c r="K8" s="10">
        <v>1700</v>
      </c>
      <c r="L8" s="10">
        <f t="shared" si="1"/>
        <v>0</v>
      </c>
      <c r="M8" s="48">
        <v>3345</v>
      </c>
      <c r="N8" s="14" t="s">
        <v>33</v>
      </c>
    </row>
    <row r="9" spans="1:14" ht="15" x14ac:dyDescent="0.25">
      <c r="A9" s="9">
        <v>4</v>
      </c>
      <c r="B9" s="13" t="s">
        <v>21</v>
      </c>
      <c r="C9" s="8" t="s">
        <v>15</v>
      </c>
      <c r="D9" s="17" t="s">
        <v>9</v>
      </c>
      <c r="E9" s="17" t="s">
        <v>10</v>
      </c>
      <c r="F9" s="18" t="s">
        <v>28</v>
      </c>
      <c r="G9" s="9">
        <v>18176</v>
      </c>
      <c r="H9" s="10">
        <v>10004</v>
      </c>
      <c r="I9" s="11">
        <v>3.3702000000000001</v>
      </c>
      <c r="J9" s="19">
        <f t="shared" si="0"/>
        <v>33715.480799999998</v>
      </c>
      <c r="K9" s="10">
        <v>10004</v>
      </c>
      <c r="L9" s="10">
        <f t="shared" si="1"/>
        <v>0</v>
      </c>
      <c r="M9" s="48">
        <v>2169</v>
      </c>
      <c r="N9" s="15" t="s">
        <v>37</v>
      </c>
    </row>
    <row r="10" spans="1:14" ht="15" x14ac:dyDescent="0.25">
      <c r="A10" s="9">
        <v>5</v>
      </c>
      <c r="B10" s="8">
        <v>44980</v>
      </c>
      <c r="C10" s="8" t="s">
        <v>24</v>
      </c>
      <c r="D10" s="17" t="s">
        <v>9</v>
      </c>
      <c r="E10" s="17" t="s">
        <v>13</v>
      </c>
      <c r="F10" s="18" t="s">
        <v>28</v>
      </c>
      <c r="G10" s="9">
        <v>18177</v>
      </c>
      <c r="H10" s="10">
        <v>26499.5</v>
      </c>
      <c r="I10" s="11">
        <v>3.3702000000000001</v>
      </c>
      <c r="J10" s="19">
        <f t="shared" si="0"/>
        <v>89308.6149</v>
      </c>
      <c r="K10" s="10">
        <v>12000</v>
      </c>
      <c r="L10" s="10">
        <f t="shared" si="1"/>
        <v>14499.5</v>
      </c>
      <c r="M10" s="48">
        <v>4603</v>
      </c>
      <c r="N10" s="16" t="s">
        <v>36</v>
      </c>
    </row>
    <row r="11" spans="1:14" ht="15" x14ac:dyDescent="0.25">
      <c r="A11" s="9">
        <v>6</v>
      </c>
      <c r="B11" s="8">
        <v>44980</v>
      </c>
      <c r="C11" s="8" t="s">
        <v>15</v>
      </c>
      <c r="D11" s="17" t="s">
        <v>9</v>
      </c>
      <c r="E11" s="17" t="s">
        <v>8</v>
      </c>
      <c r="F11" s="18" t="s">
        <v>28</v>
      </c>
      <c r="G11" s="9">
        <v>18178</v>
      </c>
      <c r="H11" s="10">
        <v>2000</v>
      </c>
      <c r="I11" s="11">
        <v>3.3702000000000001</v>
      </c>
      <c r="J11" s="19">
        <f t="shared" si="0"/>
        <v>6740.4000000000005</v>
      </c>
      <c r="K11" s="10">
        <v>2000</v>
      </c>
      <c r="L11" s="10">
        <f t="shared" si="1"/>
        <v>0</v>
      </c>
      <c r="M11" s="48">
        <v>4105</v>
      </c>
      <c r="N11" s="14" t="s">
        <v>34</v>
      </c>
    </row>
    <row r="12" spans="1:14" ht="15" x14ac:dyDescent="0.25">
      <c r="A12" s="9">
        <v>7</v>
      </c>
      <c r="B12" s="8">
        <v>44985</v>
      </c>
      <c r="C12" s="8" t="s">
        <v>15</v>
      </c>
      <c r="D12" s="17" t="s">
        <v>9</v>
      </c>
      <c r="E12" s="17" t="s">
        <v>10</v>
      </c>
      <c r="F12" s="18" t="s">
        <v>27</v>
      </c>
      <c r="G12" s="9">
        <v>18179</v>
      </c>
      <c r="H12" s="10">
        <v>2926</v>
      </c>
      <c r="I12" s="11">
        <v>3.3702000000000001</v>
      </c>
      <c r="J12" s="19">
        <f t="shared" si="0"/>
        <v>9861.2052000000003</v>
      </c>
      <c r="K12" s="10">
        <v>2926</v>
      </c>
      <c r="L12" s="10">
        <f t="shared" si="1"/>
        <v>0</v>
      </c>
      <c r="M12" s="48">
        <v>2232</v>
      </c>
      <c r="N12" s="15" t="s">
        <v>35</v>
      </c>
    </row>
    <row r="13" spans="1:14" ht="15" x14ac:dyDescent="0.25">
      <c r="A13" s="9">
        <v>8</v>
      </c>
      <c r="B13" s="8">
        <v>44993</v>
      </c>
      <c r="C13" s="8" t="s">
        <v>24</v>
      </c>
      <c r="D13" s="17" t="s">
        <v>9</v>
      </c>
      <c r="E13" s="17" t="s">
        <v>12</v>
      </c>
      <c r="F13" s="18" t="s">
        <v>27</v>
      </c>
      <c r="G13" s="9">
        <v>18180</v>
      </c>
      <c r="H13" s="10">
        <v>4950</v>
      </c>
      <c r="I13" s="11">
        <v>3.3702000000000001</v>
      </c>
      <c r="J13" s="19">
        <f t="shared" si="0"/>
        <v>16682.490000000002</v>
      </c>
      <c r="K13" s="10">
        <v>4950</v>
      </c>
      <c r="L13" s="10">
        <f t="shared" si="1"/>
        <v>0</v>
      </c>
      <c r="M13" s="48">
        <v>2398</v>
      </c>
      <c r="N13" s="15" t="s">
        <v>35</v>
      </c>
    </row>
    <row r="14" spans="1:14" ht="15" x14ac:dyDescent="0.25">
      <c r="A14" s="9">
        <v>9</v>
      </c>
      <c r="B14" s="8">
        <v>45008</v>
      </c>
      <c r="C14" s="8" t="s">
        <v>15</v>
      </c>
      <c r="D14" s="17" t="s">
        <v>9</v>
      </c>
      <c r="E14" s="17" t="s">
        <v>8</v>
      </c>
      <c r="F14" s="18" t="s">
        <v>27</v>
      </c>
      <c r="G14" s="9">
        <v>18181</v>
      </c>
      <c r="H14" s="10">
        <v>17327</v>
      </c>
      <c r="I14" s="11">
        <v>3.3702000000000001</v>
      </c>
      <c r="J14" s="19">
        <f t="shared" si="0"/>
        <v>58395.455399999999</v>
      </c>
      <c r="K14" s="10">
        <v>17000</v>
      </c>
      <c r="L14" s="10">
        <f t="shared" si="1"/>
        <v>327</v>
      </c>
      <c r="M14" s="48">
        <v>3094</v>
      </c>
      <c r="N14" s="15" t="s">
        <v>35</v>
      </c>
    </row>
    <row r="15" spans="1:14" ht="15" x14ac:dyDescent="0.25">
      <c r="A15" s="9">
        <v>9</v>
      </c>
      <c r="B15" s="8" t="s">
        <v>16</v>
      </c>
      <c r="C15" s="8" t="s">
        <v>25</v>
      </c>
      <c r="D15" s="17" t="s">
        <v>9</v>
      </c>
      <c r="E15" s="17" t="s">
        <v>11</v>
      </c>
      <c r="F15" s="18" t="s">
        <v>27</v>
      </c>
      <c r="G15" s="9">
        <v>18182</v>
      </c>
      <c r="H15" s="10">
        <v>4250</v>
      </c>
      <c r="I15" s="11">
        <v>3.3702000000000001</v>
      </c>
      <c r="J15" s="19">
        <f t="shared" si="0"/>
        <v>14323.35</v>
      </c>
      <c r="K15" s="10">
        <v>4250</v>
      </c>
      <c r="L15" s="10">
        <f t="shared" si="1"/>
        <v>0</v>
      </c>
      <c r="M15" s="48">
        <v>4536</v>
      </c>
      <c r="N15" s="16" t="s">
        <v>36</v>
      </c>
    </row>
    <row r="16" spans="1:14" ht="22.5" x14ac:dyDescent="0.25">
      <c r="A16" s="9">
        <v>11</v>
      </c>
      <c r="B16" s="8">
        <v>45013</v>
      </c>
      <c r="C16" s="8" t="s">
        <v>15</v>
      </c>
      <c r="D16" s="17" t="s">
        <v>9</v>
      </c>
      <c r="E16" s="17" t="s">
        <v>10</v>
      </c>
      <c r="F16" s="18" t="s">
        <v>29</v>
      </c>
      <c r="G16" s="9">
        <v>18183</v>
      </c>
      <c r="H16" s="10">
        <v>12540</v>
      </c>
      <c r="I16" s="11">
        <v>3.3702000000000001</v>
      </c>
      <c r="J16" s="19">
        <f t="shared" si="0"/>
        <v>42262.308000000005</v>
      </c>
      <c r="K16" s="10">
        <v>12540</v>
      </c>
      <c r="L16" s="10">
        <f t="shared" si="1"/>
        <v>0</v>
      </c>
      <c r="M16" s="48">
        <v>4072</v>
      </c>
      <c r="N16" s="16" t="s">
        <v>36</v>
      </c>
    </row>
    <row r="17" spans="1:14" ht="22.5" x14ac:dyDescent="0.25">
      <c r="A17" s="9">
        <v>12</v>
      </c>
      <c r="B17" s="8">
        <v>45013</v>
      </c>
      <c r="C17" s="8" t="s">
        <v>15</v>
      </c>
      <c r="D17" s="17" t="s">
        <v>9</v>
      </c>
      <c r="E17" s="17" t="s">
        <v>10</v>
      </c>
      <c r="F17" s="18" t="s">
        <v>29</v>
      </c>
      <c r="G17" s="9">
        <v>18184</v>
      </c>
      <c r="H17" s="10">
        <v>2508</v>
      </c>
      <c r="I17" s="11">
        <v>3.3702000000000001</v>
      </c>
      <c r="J17" s="19">
        <f t="shared" si="0"/>
        <v>8452.4616000000005</v>
      </c>
      <c r="K17" s="10"/>
      <c r="L17" s="10">
        <f t="shared" si="1"/>
        <v>2508</v>
      </c>
      <c r="M17" s="48">
        <v>2845</v>
      </c>
      <c r="N17" s="15" t="s">
        <v>37</v>
      </c>
    </row>
    <row r="18" spans="1:14" ht="22.5" x14ac:dyDescent="0.25">
      <c r="A18" s="9">
        <v>13</v>
      </c>
      <c r="B18" s="8">
        <v>45034</v>
      </c>
      <c r="C18" s="8" t="s">
        <v>24</v>
      </c>
      <c r="D18" s="17" t="s">
        <v>9</v>
      </c>
      <c r="E18" s="17" t="s">
        <v>13</v>
      </c>
      <c r="F18" s="18" t="s">
        <v>29</v>
      </c>
      <c r="G18" s="9">
        <v>18185</v>
      </c>
      <c r="H18" s="10">
        <v>23963.48</v>
      </c>
      <c r="I18" s="11">
        <v>3.3702000000000001</v>
      </c>
      <c r="J18" s="19">
        <f t="shared" si="0"/>
        <v>80761.720296</v>
      </c>
      <c r="K18" s="10">
        <v>15000</v>
      </c>
      <c r="L18" s="10">
        <f t="shared" si="1"/>
        <v>8963.48</v>
      </c>
      <c r="M18" s="48">
        <v>2000</v>
      </c>
      <c r="N18" s="15" t="s">
        <v>37</v>
      </c>
    </row>
    <row r="19" spans="1:14" ht="15" x14ac:dyDescent="0.25">
      <c r="A19" s="9">
        <v>10</v>
      </c>
      <c r="B19" s="8">
        <v>45042</v>
      </c>
      <c r="C19" s="8" t="s">
        <v>15</v>
      </c>
      <c r="D19" s="17" t="s">
        <v>9</v>
      </c>
      <c r="E19" s="17" t="s">
        <v>10</v>
      </c>
      <c r="F19" s="18" t="s">
        <v>27</v>
      </c>
      <c r="G19" s="9">
        <v>18186</v>
      </c>
      <c r="H19" s="10">
        <v>2090</v>
      </c>
      <c r="I19" s="11">
        <v>3.3702000000000001</v>
      </c>
      <c r="J19" s="19">
        <f t="shared" si="0"/>
        <v>7043.7179999999998</v>
      </c>
      <c r="K19" s="10">
        <v>2090</v>
      </c>
      <c r="L19" s="10">
        <f t="shared" si="1"/>
        <v>0</v>
      </c>
      <c r="M19" s="48">
        <v>4110</v>
      </c>
      <c r="N19" s="16" t="s">
        <v>36</v>
      </c>
    </row>
    <row r="20" spans="1:14" ht="22.5" x14ac:dyDescent="0.25">
      <c r="A20" s="9">
        <v>15</v>
      </c>
      <c r="B20" s="8">
        <v>45044</v>
      </c>
      <c r="C20" s="8" t="s">
        <v>15</v>
      </c>
      <c r="D20" s="17" t="s">
        <v>9</v>
      </c>
      <c r="E20" s="17" t="s">
        <v>10</v>
      </c>
      <c r="F20" s="18" t="s">
        <v>29</v>
      </c>
      <c r="G20" s="9">
        <v>18187</v>
      </c>
      <c r="H20" s="10">
        <v>6500</v>
      </c>
      <c r="I20" s="11">
        <v>3.3702000000000001</v>
      </c>
      <c r="J20" s="19">
        <f t="shared" si="0"/>
        <v>21906.3</v>
      </c>
      <c r="K20" s="10">
        <v>6500</v>
      </c>
      <c r="L20" s="10">
        <f t="shared" si="1"/>
        <v>0</v>
      </c>
      <c r="M20" s="48">
        <v>3866</v>
      </c>
      <c r="N20" s="16" t="s">
        <v>36</v>
      </c>
    </row>
    <row r="21" spans="1:14" ht="15" x14ac:dyDescent="0.25">
      <c r="A21" s="9">
        <v>16</v>
      </c>
      <c r="B21" s="13" t="s">
        <v>19</v>
      </c>
      <c r="C21" s="8" t="s">
        <v>40</v>
      </c>
      <c r="D21" s="17" t="s">
        <v>9</v>
      </c>
      <c r="E21" s="17" t="s">
        <v>13</v>
      </c>
      <c r="F21" s="18" t="s">
        <v>28</v>
      </c>
      <c r="G21" s="9">
        <v>18188</v>
      </c>
      <c r="H21" s="10">
        <v>32551.47</v>
      </c>
      <c r="I21" s="11">
        <v>3.3702000000000001</v>
      </c>
      <c r="J21" s="19">
        <f t="shared" si="0"/>
        <v>109704.964194</v>
      </c>
      <c r="K21" s="10">
        <v>32551.47</v>
      </c>
      <c r="L21" s="10">
        <f t="shared" si="1"/>
        <v>0</v>
      </c>
      <c r="M21" s="48">
        <v>3161</v>
      </c>
      <c r="N21" s="15" t="s">
        <v>38</v>
      </c>
    </row>
    <row r="22" spans="1:14" ht="22.5" x14ac:dyDescent="0.25">
      <c r="A22" s="9">
        <v>17</v>
      </c>
      <c r="B22" s="8">
        <v>45070</v>
      </c>
      <c r="C22" s="8" t="s">
        <v>15</v>
      </c>
      <c r="D22" s="17" t="s">
        <v>9</v>
      </c>
      <c r="E22" s="17" t="s">
        <v>10</v>
      </c>
      <c r="F22" s="18" t="s">
        <v>29</v>
      </c>
      <c r="G22" s="9">
        <v>18189</v>
      </c>
      <c r="H22" s="10">
        <v>2600</v>
      </c>
      <c r="I22" s="11">
        <v>3.3702000000000001</v>
      </c>
      <c r="J22" s="19">
        <f t="shared" si="0"/>
        <v>8762.52</v>
      </c>
      <c r="K22" s="10">
        <v>1000</v>
      </c>
      <c r="L22" s="10">
        <f t="shared" si="1"/>
        <v>1600</v>
      </c>
      <c r="M22" s="48">
        <v>3235</v>
      </c>
      <c r="N22" s="15" t="s">
        <v>38</v>
      </c>
    </row>
    <row r="23" spans="1:14" ht="15" x14ac:dyDescent="0.25">
      <c r="A23" s="9">
        <v>18</v>
      </c>
      <c r="B23" s="13" t="s">
        <v>22</v>
      </c>
      <c r="C23" s="8" t="s">
        <v>25</v>
      </c>
      <c r="D23" s="17" t="s">
        <v>9</v>
      </c>
      <c r="E23" s="17" t="s">
        <v>11</v>
      </c>
      <c r="F23" s="18" t="s">
        <v>27</v>
      </c>
      <c r="G23" s="9">
        <v>18190</v>
      </c>
      <c r="H23" s="10">
        <v>3971</v>
      </c>
      <c r="I23" s="11">
        <v>3.3702000000000001</v>
      </c>
      <c r="J23" s="19">
        <f t="shared" si="0"/>
        <v>13383.064200000001</v>
      </c>
      <c r="K23" s="10">
        <v>3971</v>
      </c>
      <c r="L23" s="10">
        <f t="shared" si="1"/>
        <v>0</v>
      </c>
      <c r="M23" s="48">
        <v>3666</v>
      </c>
      <c r="N23" s="15" t="s">
        <v>38</v>
      </c>
    </row>
    <row r="24" spans="1:14" ht="15" x14ac:dyDescent="0.25">
      <c r="A24" s="9">
        <v>19</v>
      </c>
      <c r="B24" s="8">
        <v>45097</v>
      </c>
      <c r="C24" s="8" t="s">
        <v>15</v>
      </c>
      <c r="D24" s="17" t="s">
        <v>9</v>
      </c>
      <c r="E24" s="17" t="s">
        <v>10</v>
      </c>
      <c r="F24" s="18" t="s">
        <v>27</v>
      </c>
      <c r="G24" s="9">
        <v>18191</v>
      </c>
      <c r="H24" s="10">
        <v>3135</v>
      </c>
      <c r="I24" s="11">
        <v>3.3702000000000001</v>
      </c>
      <c r="J24" s="19">
        <f t="shared" si="0"/>
        <v>10565.577000000001</v>
      </c>
      <c r="K24" s="10">
        <v>3135</v>
      </c>
      <c r="L24" s="10">
        <f t="shared" si="1"/>
        <v>0</v>
      </c>
      <c r="M24" s="48">
        <v>3997</v>
      </c>
      <c r="N24" s="14" t="s">
        <v>33</v>
      </c>
    </row>
    <row r="25" spans="1:14" ht="15" x14ac:dyDescent="0.25">
      <c r="A25" s="9">
        <v>20</v>
      </c>
      <c r="B25" s="8">
        <v>45098</v>
      </c>
      <c r="C25" s="8" t="s">
        <v>24</v>
      </c>
      <c r="D25" s="17" t="s">
        <v>9</v>
      </c>
      <c r="E25" s="17" t="s">
        <v>12</v>
      </c>
      <c r="F25" s="18" t="s">
        <v>27</v>
      </c>
      <c r="G25" s="9">
        <v>18192</v>
      </c>
      <c r="H25" s="10">
        <v>30797.5</v>
      </c>
      <c r="I25" s="11">
        <v>3.3702000000000001</v>
      </c>
      <c r="J25" s="19">
        <f t="shared" si="0"/>
        <v>103793.73450000001</v>
      </c>
      <c r="K25" s="10">
        <v>30797.5</v>
      </c>
      <c r="L25" s="10">
        <f t="shared" si="1"/>
        <v>0</v>
      </c>
      <c r="M25" s="48">
        <v>4050</v>
      </c>
      <c r="N25" s="14" t="s">
        <v>34</v>
      </c>
    </row>
    <row r="26" spans="1:14" ht="15" x14ac:dyDescent="0.25">
      <c r="A26" s="9">
        <v>20</v>
      </c>
      <c r="B26" s="8">
        <v>45132</v>
      </c>
      <c r="C26" s="8" t="s">
        <v>15</v>
      </c>
      <c r="D26" s="17" t="s">
        <v>9</v>
      </c>
      <c r="E26" s="17" t="s">
        <v>8</v>
      </c>
      <c r="F26" s="18" t="s">
        <v>27</v>
      </c>
      <c r="G26" s="9">
        <v>18193</v>
      </c>
      <c r="H26" s="10">
        <v>20328.78</v>
      </c>
      <c r="I26" s="11">
        <v>3.3702000000000001</v>
      </c>
      <c r="J26" s="19">
        <f t="shared" si="0"/>
        <v>68512.054355999993</v>
      </c>
      <c r="K26" s="10">
        <v>20328.78</v>
      </c>
      <c r="L26" s="10">
        <f t="shared" si="1"/>
        <v>0</v>
      </c>
      <c r="M26" s="48">
        <v>4428</v>
      </c>
      <c r="N26" s="14" t="s">
        <v>33</v>
      </c>
    </row>
    <row r="27" spans="1:14" ht="22.5" x14ac:dyDescent="0.25">
      <c r="A27" s="9">
        <v>21</v>
      </c>
      <c r="B27" s="8">
        <v>45133</v>
      </c>
      <c r="C27" s="8" t="s">
        <v>24</v>
      </c>
      <c r="D27" s="17" t="s">
        <v>9</v>
      </c>
      <c r="E27" s="17" t="s">
        <v>12</v>
      </c>
      <c r="F27" s="18" t="s">
        <v>29</v>
      </c>
      <c r="G27" s="9">
        <v>18194</v>
      </c>
      <c r="H27" s="10">
        <v>1700</v>
      </c>
      <c r="I27" s="11">
        <v>3.3702000000000001</v>
      </c>
      <c r="J27" s="19">
        <f t="shared" si="0"/>
        <v>5729.34</v>
      </c>
      <c r="K27" s="10">
        <v>1700</v>
      </c>
      <c r="L27" s="10">
        <f t="shared" si="1"/>
        <v>0</v>
      </c>
      <c r="M27" s="48">
        <v>3442</v>
      </c>
      <c r="N27" s="14" t="s">
        <v>33</v>
      </c>
    </row>
    <row r="28" spans="1:14" ht="22.5" x14ac:dyDescent="0.25">
      <c r="A28" s="9">
        <v>22</v>
      </c>
      <c r="B28" s="13" t="s">
        <v>20</v>
      </c>
      <c r="C28" s="8" t="s">
        <v>25</v>
      </c>
      <c r="D28" s="17" t="s">
        <v>9</v>
      </c>
      <c r="E28" s="17" t="s">
        <v>11</v>
      </c>
      <c r="F28" s="18" t="s">
        <v>29</v>
      </c>
      <c r="G28" s="9">
        <v>18195</v>
      </c>
      <c r="H28" s="10">
        <v>22767.97</v>
      </c>
      <c r="I28" s="11">
        <v>3.3702000000000001</v>
      </c>
      <c r="J28" s="19">
        <f t="shared" si="0"/>
        <v>76732.612494000001</v>
      </c>
      <c r="K28" s="10">
        <v>22767.97</v>
      </c>
      <c r="L28" s="10">
        <f t="shared" si="1"/>
        <v>0</v>
      </c>
      <c r="M28" s="48">
        <v>2532</v>
      </c>
      <c r="N28" s="15" t="s">
        <v>35</v>
      </c>
    </row>
    <row r="29" spans="1:14" ht="15" x14ac:dyDescent="0.25">
      <c r="A29" s="9">
        <v>23</v>
      </c>
      <c r="B29" s="8">
        <v>45190</v>
      </c>
      <c r="C29" s="8" t="s">
        <v>24</v>
      </c>
      <c r="D29" s="17" t="s">
        <v>9</v>
      </c>
      <c r="E29" s="17" t="s">
        <v>13</v>
      </c>
      <c r="F29" s="18" t="s">
        <v>28</v>
      </c>
      <c r="G29" s="9">
        <v>18196</v>
      </c>
      <c r="H29" s="10">
        <v>34765.43</v>
      </c>
      <c r="I29" s="11">
        <v>3.3702000000000001</v>
      </c>
      <c r="J29" s="19">
        <f t="shared" si="0"/>
        <v>117166.45218600001</v>
      </c>
      <c r="K29" s="10">
        <v>29000</v>
      </c>
      <c r="L29" s="10">
        <f t="shared" si="1"/>
        <v>5765.43</v>
      </c>
      <c r="M29" s="48">
        <v>2765</v>
      </c>
      <c r="N29" s="15" t="s">
        <v>35</v>
      </c>
    </row>
    <row r="30" spans="1:14" ht="15" x14ac:dyDescent="0.25">
      <c r="A30" s="9">
        <v>24</v>
      </c>
      <c r="B30" s="8" t="s">
        <v>17</v>
      </c>
      <c r="C30" s="8" t="s">
        <v>25</v>
      </c>
      <c r="D30" s="17" t="s">
        <v>9</v>
      </c>
      <c r="E30" s="17" t="s">
        <v>11</v>
      </c>
      <c r="F30" s="18" t="s">
        <v>28</v>
      </c>
      <c r="G30" s="9">
        <v>18197</v>
      </c>
      <c r="H30" s="10">
        <v>26973.1</v>
      </c>
      <c r="I30" s="11">
        <v>3.3702000000000001</v>
      </c>
      <c r="J30" s="19">
        <f t="shared" si="0"/>
        <v>90904.741620000001</v>
      </c>
      <c r="K30" s="10">
        <v>22000</v>
      </c>
      <c r="L30" s="10">
        <f t="shared" si="1"/>
        <v>4973.0999999999985</v>
      </c>
      <c r="M30" s="48">
        <v>3544</v>
      </c>
      <c r="N30" s="14" t="s">
        <v>34</v>
      </c>
    </row>
    <row r="31" spans="1:14" ht="15" x14ac:dyDescent="0.25">
      <c r="A31" s="9">
        <v>25</v>
      </c>
      <c r="B31" s="8">
        <v>45230</v>
      </c>
      <c r="C31" s="8" t="s">
        <v>15</v>
      </c>
      <c r="D31" s="17" t="s">
        <v>9</v>
      </c>
      <c r="E31" s="17" t="s">
        <v>10</v>
      </c>
      <c r="F31" s="18" t="s">
        <v>28</v>
      </c>
      <c r="G31" s="9">
        <v>18198</v>
      </c>
      <c r="H31" s="10">
        <v>2508</v>
      </c>
      <c r="I31" s="11">
        <v>3.3702000000000001</v>
      </c>
      <c r="J31" s="19">
        <f t="shared" si="0"/>
        <v>8452.4616000000005</v>
      </c>
      <c r="K31" s="10">
        <v>2508</v>
      </c>
      <c r="L31" s="10">
        <f t="shared" si="1"/>
        <v>0</v>
      </c>
      <c r="M31" s="48">
        <v>3509</v>
      </c>
      <c r="N31" s="14" t="s">
        <v>34</v>
      </c>
    </row>
    <row r="32" spans="1:14" ht="15" x14ac:dyDescent="0.25">
      <c r="A32" s="9">
        <v>26</v>
      </c>
      <c r="B32" s="8" t="s">
        <v>23</v>
      </c>
      <c r="C32" s="8" t="s">
        <v>24</v>
      </c>
      <c r="D32" s="17" t="s">
        <v>9</v>
      </c>
      <c r="E32" s="17" t="s">
        <v>12</v>
      </c>
      <c r="F32" s="18" t="s">
        <v>28</v>
      </c>
      <c r="G32" s="9">
        <v>18199</v>
      </c>
      <c r="H32" s="10">
        <v>21339.63</v>
      </c>
      <c r="I32" s="11">
        <v>3.3702000000000001</v>
      </c>
      <c r="J32" s="19">
        <f t="shared" si="0"/>
        <v>71918.821026000005</v>
      </c>
      <c r="K32" s="10">
        <v>19000</v>
      </c>
      <c r="L32" s="10">
        <f t="shared" si="1"/>
        <v>2339.630000000001</v>
      </c>
      <c r="M32" s="48">
        <v>4535</v>
      </c>
      <c r="N32" s="14" t="s">
        <v>33</v>
      </c>
    </row>
    <row r="33" spans="1:14" ht="22.5" x14ac:dyDescent="0.25">
      <c r="A33" s="9">
        <v>27</v>
      </c>
      <c r="B33" s="8">
        <v>45268</v>
      </c>
      <c r="C33" s="8" t="s">
        <v>40</v>
      </c>
      <c r="D33" s="17" t="s">
        <v>9</v>
      </c>
      <c r="E33" s="17" t="s">
        <v>11</v>
      </c>
      <c r="F33" s="18" t="s">
        <v>29</v>
      </c>
      <c r="G33" s="9">
        <v>18200</v>
      </c>
      <c r="H33" s="10">
        <v>11500.74</v>
      </c>
      <c r="I33" s="11">
        <v>3.3702000000000001</v>
      </c>
      <c r="J33" s="19">
        <f t="shared" si="0"/>
        <v>38759.793947999999</v>
      </c>
      <c r="K33" s="10">
        <v>9000</v>
      </c>
      <c r="L33" s="10">
        <f t="shared" si="1"/>
        <v>2500.7399999999998</v>
      </c>
      <c r="M33" s="48">
        <v>4947</v>
      </c>
      <c r="N33" s="14" t="s">
        <v>33</v>
      </c>
    </row>
    <row r="34" spans="1:14" ht="22.5" x14ac:dyDescent="0.25">
      <c r="A34" s="9">
        <v>28</v>
      </c>
      <c r="B34" s="8" t="s">
        <v>18</v>
      </c>
      <c r="C34" s="8" t="s">
        <v>15</v>
      </c>
      <c r="D34" s="17" t="s">
        <v>9</v>
      </c>
      <c r="E34" s="17" t="s">
        <v>8</v>
      </c>
      <c r="F34" s="18" t="s">
        <v>29</v>
      </c>
      <c r="G34" s="9">
        <v>18201</v>
      </c>
      <c r="H34" s="10">
        <v>35021.35</v>
      </c>
      <c r="I34" s="11">
        <v>3.3702000000000001</v>
      </c>
      <c r="J34" s="19">
        <f t="shared" si="0"/>
        <v>118028.95376999999</v>
      </c>
      <c r="K34" s="10"/>
      <c r="L34" s="10">
        <f t="shared" si="1"/>
        <v>35021.35</v>
      </c>
      <c r="M34" s="48">
        <v>3322</v>
      </c>
      <c r="N34" s="15" t="s">
        <v>35</v>
      </c>
    </row>
  </sheetData>
  <mergeCells count="1">
    <mergeCell ref="D3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XFD1"/>
    </sheetView>
  </sheetViews>
  <sheetFormatPr baseColWidth="10" defaultColWidth="9.140625" defaultRowHeight="14.25" x14ac:dyDescent="0.25"/>
  <cols>
    <col min="1" max="1" width="9.140625" style="31"/>
    <col min="2" max="3" width="14.42578125" style="31" customWidth="1"/>
    <col min="4" max="4" width="20.42578125" style="31" customWidth="1"/>
    <col min="5" max="5" width="25.7109375" style="31" customWidth="1"/>
    <col min="6" max="6" width="20.140625" style="31" customWidth="1"/>
    <col min="7" max="7" width="15.140625" style="31" customWidth="1"/>
    <col min="8" max="9" width="15" style="31" customWidth="1"/>
    <col min="10" max="12" width="20.28515625" style="31" customWidth="1"/>
    <col min="13" max="13" width="20.140625" style="31" customWidth="1"/>
    <col min="14" max="16384" width="9.140625" style="31"/>
  </cols>
  <sheetData>
    <row r="1" spans="1:13" ht="27.75" customHeight="1" x14ac:dyDescent="0.25">
      <c r="A1" s="30" t="s">
        <v>39</v>
      </c>
    </row>
    <row r="3" spans="1:13" ht="15" customHeight="1" x14ac:dyDescent="0.25">
      <c r="A3" s="40"/>
      <c r="B3" s="41"/>
      <c r="C3" s="41"/>
      <c r="D3" s="42"/>
      <c r="E3" s="43"/>
      <c r="F3" s="44"/>
      <c r="G3" s="45"/>
      <c r="H3" s="46">
        <f>SUM(H6:H34)</f>
        <v>1578987</v>
      </c>
      <c r="I3" s="46">
        <f>SUM(I6:I34)</f>
        <v>300500.11999999994</v>
      </c>
      <c r="J3" s="46">
        <f t="shared" ref="J3:K3" si="0">SUM(J6:J34)</f>
        <v>1852380.2</v>
      </c>
      <c r="K3" s="46">
        <f t="shared" si="0"/>
        <v>1603327.44</v>
      </c>
      <c r="L3" s="47"/>
      <c r="M3" s="44"/>
    </row>
    <row r="4" spans="1:13" s="29" customFormat="1" ht="6" customHeight="1" x14ac:dyDescent="0.25">
      <c r="A4" s="24"/>
      <c r="B4" s="24"/>
      <c r="C4" s="24"/>
      <c r="D4" s="23"/>
      <c r="E4" s="23"/>
      <c r="F4" s="23"/>
      <c r="G4" s="25"/>
      <c r="H4" s="26"/>
      <c r="I4" s="28"/>
      <c r="M4" s="23"/>
    </row>
    <row r="5" spans="1:13" x14ac:dyDescent="0.25">
      <c r="A5" s="38" t="s">
        <v>1</v>
      </c>
      <c r="B5" s="38" t="s">
        <v>41</v>
      </c>
      <c r="C5" s="38" t="s">
        <v>14</v>
      </c>
      <c r="D5" s="38" t="s">
        <v>45</v>
      </c>
      <c r="E5" s="38" t="s">
        <v>46</v>
      </c>
      <c r="F5" s="38" t="s">
        <v>26</v>
      </c>
      <c r="G5" s="38" t="s">
        <v>3</v>
      </c>
      <c r="H5" s="39" t="s">
        <v>51</v>
      </c>
      <c r="I5" s="39" t="s">
        <v>52</v>
      </c>
      <c r="J5" s="39" t="s">
        <v>53</v>
      </c>
      <c r="K5" s="39" t="s">
        <v>54</v>
      </c>
      <c r="L5" s="39" t="s">
        <v>55</v>
      </c>
      <c r="M5" s="38" t="s">
        <v>32</v>
      </c>
    </row>
    <row r="6" spans="1:13" ht="15" x14ac:dyDescent="0.25">
      <c r="A6" s="9">
        <v>1</v>
      </c>
      <c r="B6" s="8">
        <v>44949</v>
      </c>
      <c r="C6" s="8" t="s">
        <v>40</v>
      </c>
      <c r="D6" s="17" t="s">
        <v>42</v>
      </c>
      <c r="E6" s="17" t="s">
        <v>49</v>
      </c>
      <c r="F6" s="18" t="s">
        <v>28</v>
      </c>
      <c r="G6" s="9">
        <v>18203</v>
      </c>
      <c r="H6" s="32">
        <v>40000</v>
      </c>
      <c r="I6" s="32">
        <f>+H6*19%</f>
        <v>7600</v>
      </c>
      <c r="J6" s="32">
        <f>+H6+I6</f>
        <v>47600</v>
      </c>
      <c r="K6" s="32">
        <v>40000</v>
      </c>
      <c r="L6" s="32">
        <f>+J6-K6</f>
        <v>7600</v>
      </c>
      <c r="M6" s="14" t="s">
        <v>34</v>
      </c>
    </row>
    <row r="7" spans="1:13" ht="15" x14ac:dyDescent="0.25">
      <c r="A7" s="9">
        <v>2</v>
      </c>
      <c r="B7" s="8">
        <v>44960</v>
      </c>
      <c r="C7" s="8" t="s">
        <v>40</v>
      </c>
      <c r="D7" s="17" t="s">
        <v>42</v>
      </c>
      <c r="E7" s="17" t="s">
        <v>48</v>
      </c>
      <c r="F7" s="18" t="s">
        <v>27</v>
      </c>
      <c r="G7" s="9">
        <v>18204</v>
      </c>
      <c r="H7" s="32">
        <v>31228</v>
      </c>
      <c r="I7" s="32">
        <f t="shared" ref="I7:I34" si="1">+H7*19%</f>
        <v>5933.32</v>
      </c>
      <c r="J7" s="32">
        <f t="shared" ref="J7:K34" si="2">+H7+I7</f>
        <v>37161.32</v>
      </c>
      <c r="K7" s="32">
        <v>29094.639999999999</v>
      </c>
      <c r="L7" s="32">
        <f t="shared" ref="L7:L34" si="3">+J7-K7</f>
        <v>8066.68</v>
      </c>
      <c r="M7" s="15" t="s">
        <v>37</v>
      </c>
    </row>
    <row r="8" spans="1:13" ht="15" x14ac:dyDescent="0.25">
      <c r="A8" s="9">
        <v>3</v>
      </c>
      <c r="B8" s="8">
        <v>44960</v>
      </c>
      <c r="C8" s="8" t="s">
        <v>40</v>
      </c>
      <c r="D8" s="17" t="s">
        <v>42</v>
      </c>
      <c r="E8" s="17" t="s">
        <v>47</v>
      </c>
      <c r="F8" s="18" t="s">
        <v>27</v>
      </c>
      <c r="G8" s="9">
        <v>18205</v>
      </c>
      <c r="H8" s="32">
        <v>81722</v>
      </c>
      <c r="I8" s="32">
        <f t="shared" si="1"/>
        <v>15527.18</v>
      </c>
      <c r="J8" s="32">
        <f t="shared" si="2"/>
        <v>97249.18</v>
      </c>
      <c r="K8" s="32">
        <v>92776.36</v>
      </c>
      <c r="L8" s="32">
        <f t="shared" si="3"/>
        <v>4472.8199999999924</v>
      </c>
      <c r="M8" s="14" t="s">
        <v>34</v>
      </c>
    </row>
    <row r="9" spans="1:13" ht="15" x14ac:dyDescent="0.25">
      <c r="A9" s="9">
        <v>4</v>
      </c>
      <c r="B9" s="8">
        <v>44969</v>
      </c>
      <c r="C9" s="8" t="s">
        <v>40</v>
      </c>
      <c r="D9" s="17" t="s">
        <v>42</v>
      </c>
      <c r="E9" s="17" t="s">
        <v>49</v>
      </c>
      <c r="F9" s="18" t="s">
        <v>27</v>
      </c>
      <c r="G9" s="9">
        <v>18206</v>
      </c>
      <c r="H9" s="32">
        <v>11174</v>
      </c>
      <c r="I9" s="32">
        <f t="shared" si="1"/>
        <v>2123.06</v>
      </c>
      <c r="J9" s="32">
        <f t="shared" si="2"/>
        <v>13297.06</v>
      </c>
      <c r="K9" s="32">
        <v>13297.06</v>
      </c>
      <c r="L9" s="32">
        <f t="shared" si="3"/>
        <v>0</v>
      </c>
      <c r="M9" s="15" t="s">
        <v>37</v>
      </c>
    </row>
    <row r="10" spans="1:13" ht="15" x14ac:dyDescent="0.25">
      <c r="A10" s="9">
        <v>5</v>
      </c>
      <c r="B10" s="8">
        <v>44990</v>
      </c>
      <c r="C10" s="8" t="s">
        <v>40</v>
      </c>
      <c r="D10" s="17" t="s">
        <v>42</v>
      </c>
      <c r="E10" s="17" t="s">
        <v>50</v>
      </c>
      <c r="F10" s="18" t="s">
        <v>28</v>
      </c>
      <c r="G10" s="9">
        <v>18207</v>
      </c>
      <c r="H10" s="32">
        <v>68865</v>
      </c>
      <c r="I10" s="32">
        <f t="shared" si="1"/>
        <v>13084.35</v>
      </c>
      <c r="J10" s="32">
        <f t="shared" si="2"/>
        <v>81949.350000000006</v>
      </c>
      <c r="K10" s="32">
        <v>81949.350000000006</v>
      </c>
      <c r="L10" s="32">
        <f t="shared" si="3"/>
        <v>0</v>
      </c>
      <c r="M10" s="14" t="s">
        <v>34</v>
      </c>
    </row>
    <row r="11" spans="1:13" ht="15" x14ac:dyDescent="0.25">
      <c r="A11" s="9">
        <v>6</v>
      </c>
      <c r="B11" s="8">
        <v>44990</v>
      </c>
      <c r="C11" s="8" t="s">
        <v>40</v>
      </c>
      <c r="D11" s="17" t="s">
        <v>42</v>
      </c>
      <c r="E11" s="17" t="s">
        <v>47</v>
      </c>
      <c r="F11" s="18" t="s">
        <v>28</v>
      </c>
      <c r="G11" s="9">
        <v>18208</v>
      </c>
      <c r="H11" s="32">
        <v>87542</v>
      </c>
      <c r="I11" s="32">
        <f t="shared" si="1"/>
        <v>16632.98</v>
      </c>
      <c r="J11" s="32">
        <f t="shared" si="2"/>
        <v>104174.98</v>
      </c>
      <c r="K11" s="32">
        <v>104174.98</v>
      </c>
      <c r="L11" s="32">
        <f t="shared" si="3"/>
        <v>0</v>
      </c>
      <c r="M11" s="14" t="s">
        <v>34</v>
      </c>
    </row>
    <row r="12" spans="1:13" ht="15" x14ac:dyDescent="0.25">
      <c r="A12" s="9">
        <v>7</v>
      </c>
      <c r="B12" s="8">
        <v>44995</v>
      </c>
      <c r="C12" s="8" t="s">
        <v>40</v>
      </c>
      <c r="D12" s="17" t="s">
        <v>42</v>
      </c>
      <c r="E12" s="17" t="s">
        <v>50</v>
      </c>
      <c r="F12" s="18" t="s">
        <v>27</v>
      </c>
      <c r="G12" s="9">
        <v>18209</v>
      </c>
      <c r="H12" s="32">
        <v>45561</v>
      </c>
      <c r="I12" s="32">
        <f t="shared" si="1"/>
        <v>8656.59</v>
      </c>
      <c r="J12" s="32">
        <f t="shared" si="2"/>
        <v>54217.59</v>
      </c>
      <c r="K12" s="32">
        <v>54217.59</v>
      </c>
      <c r="L12" s="32">
        <f t="shared" si="3"/>
        <v>0</v>
      </c>
      <c r="M12" s="16" t="s">
        <v>36</v>
      </c>
    </row>
    <row r="13" spans="1:13" ht="15" x14ac:dyDescent="0.25">
      <c r="A13" s="9">
        <v>8</v>
      </c>
      <c r="B13" s="8">
        <v>45003</v>
      </c>
      <c r="C13" s="8" t="s">
        <v>40</v>
      </c>
      <c r="D13" s="17" t="s">
        <v>42</v>
      </c>
      <c r="E13" s="17" t="s">
        <v>48</v>
      </c>
      <c r="F13" s="18" t="s">
        <v>28</v>
      </c>
      <c r="G13" s="9">
        <v>18210</v>
      </c>
      <c r="H13" s="32">
        <v>12573</v>
      </c>
      <c r="I13" s="32">
        <f t="shared" si="1"/>
        <v>2388.87</v>
      </c>
      <c r="J13" s="32">
        <f t="shared" si="2"/>
        <v>14961.869999999999</v>
      </c>
      <c r="K13" s="32">
        <v>14961.869999999999</v>
      </c>
      <c r="L13" s="32">
        <f t="shared" si="3"/>
        <v>0</v>
      </c>
      <c r="M13" s="16" t="s">
        <v>36</v>
      </c>
    </row>
    <row r="14" spans="1:13" ht="15" x14ac:dyDescent="0.25">
      <c r="A14" s="9">
        <v>9</v>
      </c>
      <c r="B14" s="8">
        <v>45018</v>
      </c>
      <c r="C14" s="8" t="s">
        <v>40</v>
      </c>
      <c r="D14" s="17" t="s">
        <v>42</v>
      </c>
      <c r="E14" s="17" t="s">
        <v>47</v>
      </c>
      <c r="F14" s="18" t="s">
        <v>28</v>
      </c>
      <c r="G14" s="9">
        <v>18211</v>
      </c>
      <c r="H14" s="32">
        <v>87050</v>
      </c>
      <c r="I14" s="32">
        <f t="shared" si="1"/>
        <v>16539.5</v>
      </c>
      <c r="J14" s="32">
        <f>+H14</f>
        <v>87050</v>
      </c>
      <c r="K14" s="32">
        <v>87050</v>
      </c>
      <c r="L14" s="32">
        <f t="shared" si="3"/>
        <v>0</v>
      </c>
      <c r="M14" s="14" t="s">
        <v>34</v>
      </c>
    </row>
    <row r="15" spans="1:13" ht="15" x14ac:dyDescent="0.25">
      <c r="A15" s="9">
        <v>9</v>
      </c>
      <c r="B15" s="8">
        <v>44968</v>
      </c>
      <c r="C15" s="8" t="s">
        <v>40</v>
      </c>
      <c r="D15" s="17" t="s">
        <v>42</v>
      </c>
      <c r="E15" s="17" t="s">
        <v>50</v>
      </c>
      <c r="F15" s="18" t="s">
        <v>27</v>
      </c>
      <c r="G15" s="9">
        <v>18212</v>
      </c>
      <c r="H15" s="32">
        <v>92285</v>
      </c>
      <c r="I15" s="32">
        <f t="shared" si="1"/>
        <v>17534.150000000001</v>
      </c>
      <c r="J15" s="32">
        <f t="shared" si="2"/>
        <v>109819.15</v>
      </c>
      <c r="K15" s="32">
        <v>109819.15</v>
      </c>
      <c r="L15" s="32">
        <f t="shared" si="3"/>
        <v>0</v>
      </c>
      <c r="M15" s="16" t="s">
        <v>36</v>
      </c>
    </row>
    <row r="16" spans="1:13" ht="22.5" x14ac:dyDescent="0.25">
      <c r="A16" s="9">
        <v>11</v>
      </c>
      <c r="B16" s="8">
        <v>44982</v>
      </c>
      <c r="C16" s="8" t="s">
        <v>40</v>
      </c>
      <c r="D16" s="17" t="s">
        <v>42</v>
      </c>
      <c r="E16" s="17" t="s">
        <v>48</v>
      </c>
      <c r="F16" s="18" t="s">
        <v>29</v>
      </c>
      <c r="G16" s="9">
        <v>18213</v>
      </c>
      <c r="H16" s="32">
        <v>98943</v>
      </c>
      <c r="I16" s="32">
        <f t="shared" si="1"/>
        <v>18799.170000000002</v>
      </c>
      <c r="J16" s="32">
        <f t="shared" si="2"/>
        <v>117742.17</v>
      </c>
      <c r="K16" s="32">
        <v>117742.17</v>
      </c>
      <c r="L16" s="32">
        <f t="shared" si="3"/>
        <v>0</v>
      </c>
      <c r="M16" s="16" t="s">
        <v>36</v>
      </c>
    </row>
    <row r="17" spans="1:13" ht="15" x14ac:dyDescent="0.25">
      <c r="A17" s="9">
        <v>12</v>
      </c>
      <c r="B17" s="8">
        <v>44982</v>
      </c>
      <c r="C17" s="8" t="s">
        <v>40</v>
      </c>
      <c r="D17" s="17" t="s">
        <v>42</v>
      </c>
      <c r="E17" s="17" t="s">
        <v>50</v>
      </c>
      <c r="F17" s="18" t="s">
        <v>27</v>
      </c>
      <c r="G17" s="9">
        <v>18214</v>
      </c>
      <c r="H17" s="32">
        <v>10066</v>
      </c>
      <c r="I17" s="32">
        <f t="shared" si="1"/>
        <v>1912.54</v>
      </c>
      <c r="J17" s="32">
        <f t="shared" si="2"/>
        <v>11978.54</v>
      </c>
      <c r="K17" s="32">
        <v>11978.54</v>
      </c>
      <c r="L17" s="32">
        <f t="shared" si="3"/>
        <v>0</v>
      </c>
      <c r="M17" s="15" t="s">
        <v>37</v>
      </c>
    </row>
    <row r="18" spans="1:13" ht="15" x14ac:dyDescent="0.25">
      <c r="A18" s="9">
        <v>13</v>
      </c>
      <c r="B18" s="8">
        <v>45003</v>
      </c>
      <c r="C18" s="8" t="s">
        <v>40</v>
      </c>
      <c r="D18" s="17" t="s">
        <v>9</v>
      </c>
      <c r="E18" s="17" t="s">
        <v>49</v>
      </c>
      <c r="F18" s="18" t="s">
        <v>27</v>
      </c>
      <c r="G18" s="9">
        <v>18215</v>
      </c>
      <c r="H18" s="32">
        <v>54756</v>
      </c>
      <c r="I18" s="32">
        <f t="shared" si="1"/>
        <v>10403.64</v>
      </c>
      <c r="J18" s="32">
        <f t="shared" si="2"/>
        <v>65159.64</v>
      </c>
      <c r="K18" s="32">
        <v>65159.64</v>
      </c>
      <c r="L18" s="32">
        <f t="shared" si="3"/>
        <v>0</v>
      </c>
      <c r="M18" s="15" t="s">
        <v>37</v>
      </c>
    </row>
    <row r="19" spans="1:13" ht="22.5" x14ac:dyDescent="0.25">
      <c r="A19" s="9">
        <v>10</v>
      </c>
      <c r="B19" s="8">
        <v>45011</v>
      </c>
      <c r="C19" s="8" t="s">
        <v>40</v>
      </c>
      <c r="D19" s="17" t="s">
        <v>42</v>
      </c>
      <c r="E19" s="17" t="s">
        <v>48</v>
      </c>
      <c r="F19" s="18" t="s">
        <v>29</v>
      </c>
      <c r="G19" s="9">
        <v>18216</v>
      </c>
      <c r="H19" s="32">
        <v>69358</v>
      </c>
      <c r="I19" s="32">
        <f t="shared" si="1"/>
        <v>13178.02</v>
      </c>
      <c r="J19" s="32">
        <f t="shared" si="2"/>
        <v>82536.02</v>
      </c>
      <c r="K19" s="32">
        <v>9781.58</v>
      </c>
      <c r="L19" s="32">
        <f t="shared" si="3"/>
        <v>72754.44</v>
      </c>
      <c r="M19" s="16" t="s">
        <v>36</v>
      </c>
    </row>
    <row r="20" spans="1:13" ht="15" x14ac:dyDescent="0.25">
      <c r="A20" s="9">
        <v>15</v>
      </c>
      <c r="B20" s="8">
        <v>45013</v>
      </c>
      <c r="C20" s="8" t="s">
        <v>40</v>
      </c>
      <c r="D20" s="17" t="s">
        <v>42</v>
      </c>
      <c r="E20" s="17"/>
      <c r="F20" s="18" t="s">
        <v>28</v>
      </c>
      <c r="G20" s="9">
        <v>18217</v>
      </c>
      <c r="H20" s="32">
        <v>51482</v>
      </c>
      <c r="I20" s="32">
        <f t="shared" si="1"/>
        <v>9781.58</v>
      </c>
      <c r="J20" s="32">
        <f t="shared" si="2"/>
        <v>61263.58</v>
      </c>
      <c r="K20" s="32">
        <v>9601.65</v>
      </c>
      <c r="L20" s="32">
        <f t="shared" si="3"/>
        <v>51661.93</v>
      </c>
      <c r="M20" s="16" t="s">
        <v>36</v>
      </c>
    </row>
    <row r="21" spans="1:13" ht="22.5" x14ac:dyDescent="0.25">
      <c r="A21" s="9">
        <v>16</v>
      </c>
      <c r="B21" s="8">
        <v>45038</v>
      </c>
      <c r="C21" s="8" t="s">
        <v>40</v>
      </c>
      <c r="D21" s="17" t="s">
        <v>42</v>
      </c>
      <c r="E21" s="17" t="s">
        <v>48</v>
      </c>
      <c r="F21" s="18" t="s">
        <v>29</v>
      </c>
      <c r="G21" s="9">
        <v>18218</v>
      </c>
      <c r="H21" s="32">
        <v>50535</v>
      </c>
      <c r="I21" s="32">
        <f t="shared" si="1"/>
        <v>9601.65</v>
      </c>
      <c r="J21" s="32">
        <f t="shared" si="2"/>
        <v>60136.65</v>
      </c>
      <c r="K21" s="32">
        <v>5052.29</v>
      </c>
      <c r="L21" s="32">
        <f t="shared" si="3"/>
        <v>55084.36</v>
      </c>
      <c r="M21" s="15" t="s">
        <v>35</v>
      </c>
    </row>
    <row r="22" spans="1:13" ht="22.5" x14ac:dyDescent="0.25">
      <c r="A22" s="9">
        <v>17</v>
      </c>
      <c r="B22" s="8">
        <v>45039</v>
      </c>
      <c r="C22" s="8" t="s">
        <v>40</v>
      </c>
      <c r="D22" s="17" t="s">
        <v>42</v>
      </c>
      <c r="E22" s="17" t="s">
        <v>47</v>
      </c>
      <c r="F22" s="18" t="s">
        <v>29</v>
      </c>
      <c r="G22" s="9">
        <v>18219</v>
      </c>
      <c r="H22" s="32">
        <v>26591</v>
      </c>
      <c r="I22" s="32">
        <f t="shared" si="1"/>
        <v>5052.29</v>
      </c>
      <c r="J22" s="32">
        <f t="shared" si="2"/>
        <v>31643.29</v>
      </c>
      <c r="K22" s="32">
        <v>36695.58</v>
      </c>
      <c r="L22" s="32">
        <f t="shared" si="3"/>
        <v>-5052.2900000000009</v>
      </c>
      <c r="M22" s="15" t="s">
        <v>37</v>
      </c>
    </row>
    <row r="23" spans="1:13" ht="15" x14ac:dyDescent="0.25">
      <c r="A23" s="9">
        <v>18</v>
      </c>
      <c r="B23" s="8">
        <v>45040</v>
      </c>
      <c r="C23" s="8" t="s">
        <v>25</v>
      </c>
      <c r="D23" s="17" t="s">
        <v>42</v>
      </c>
      <c r="E23" s="17" t="s">
        <v>50</v>
      </c>
      <c r="F23" s="18" t="s">
        <v>27</v>
      </c>
      <c r="G23" s="9">
        <v>18220</v>
      </c>
      <c r="H23" s="32">
        <v>49259</v>
      </c>
      <c r="I23" s="32">
        <f>+H23*20%</f>
        <v>9851.8000000000011</v>
      </c>
      <c r="J23" s="32">
        <f t="shared" si="2"/>
        <v>59110.8</v>
      </c>
      <c r="K23" s="32">
        <v>68962.600000000006</v>
      </c>
      <c r="L23" s="32">
        <f t="shared" si="3"/>
        <v>-9851.8000000000029</v>
      </c>
      <c r="M23" s="15" t="s">
        <v>37</v>
      </c>
    </row>
    <row r="24" spans="1:13" ht="15" x14ac:dyDescent="0.25">
      <c r="A24" s="9">
        <v>19</v>
      </c>
      <c r="B24" s="8">
        <v>45066</v>
      </c>
      <c r="C24" s="8" t="s">
        <v>40</v>
      </c>
      <c r="D24" s="17" t="s">
        <v>42</v>
      </c>
      <c r="E24" s="17" t="s">
        <v>49</v>
      </c>
      <c r="F24" s="18" t="s">
        <v>28</v>
      </c>
      <c r="G24" s="9">
        <v>18221</v>
      </c>
      <c r="H24" s="32">
        <v>56892</v>
      </c>
      <c r="I24" s="32">
        <f t="shared" si="1"/>
        <v>10809.48</v>
      </c>
      <c r="J24" s="32">
        <f t="shared" si="2"/>
        <v>67701.48</v>
      </c>
      <c r="K24" s="32">
        <v>67701.48</v>
      </c>
      <c r="L24" s="32">
        <f t="shared" si="3"/>
        <v>0</v>
      </c>
      <c r="M24" s="16" t="s">
        <v>36</v>
      </c>
    </row>
    <row r="25" spans="1:13" ht="15" x14ac:dyDescent="0.25">
      <c r="A25" s="9">
        <v>20</v>
      </c>
      <c r="B25" s="8">
        <v>45067</v>
      </c>
      <c r="C25" s="8" t="s">
        <v>40</v>
      </c>
      <c r="D25" s="17" t="s">
        <v>42</v>
      </c>
      <c r="E25" s="17"/>
      <c r="F25" s="18" t="s">
        <v>27</v>
      </c>
      <c r="G25" s="9">
        <v>18222</v>
      </c>
      <c r="H25" s="32">
        <v>51808</v>
      </c>
      <c r="I25" s="32">
        <f t="shared" si="1"/>
        <v>9843.52</v>
      </c>
      <c r="J25" s="32">
        <f t="shared" si="2"/>
        <v>61651.520000000004</v>
      </c>
      <c r="K25" s="32">
        <v>61651.520000000004</v>
      </c>
      <c r="L25" s="32">
        <f t="shared" si="3"/>
        <v>0</v>
      </c>
      <c r="M25" s="14" t="s">
        <v>34</v>
      </c>
    </row>
    <row r="26" spans="1:13" ht="15" x14ac:dyDescent="0.25">
      <c r="A26" s="9">
        <v>20</v>
      </c>
      <c r="B26" s="8">
        <v>45101</v>
      </c>
      <c r="C26" s="8" t="s">
        <v>40</v>
      </c>
      <c r="D26" s="17" t="s">
        <v>42</v>
      </c>
      <c r="E26" s="17" t="s">
        <v>49</v>
      </c>
      <c r="F26" s="18" t="s">
        <v>27</v>
      </c>
      <c r="G26" s="9">
        <v>18223</v>
      </c>
      <c r="H26" s="32">
        <v>67323</v>
      </c>
      <c r="I26" s="32">
        <f t="shared" si="1"/>
        <v>12791.37</v>
      </c>
      <c r="J26" s="32">
        <f t="shared" si="2"/>
        <v>80114.37</v>
      </c>
      <c r="K26" s="32">
        <v>80114.37</v>
      </c>
      <c r="L26" s="32">
        <f t="shared" si="3"/>
        <v>0</v>
      </c>
      <c r="M26" s="16" t="s">
        <v>36</v>
      </c>
    </row>
    <row r="27" spans="1:13" ht="22.5" x14ac:dyDescent="0.25">
      <c r="A27" s="9">
        <v>21</v>
      </c>
      <c r="B27" s="8">
        <v>45102</v>
      </c>
      <c r="C27" s="8" t="s">
        <v>40</v>
      </c>
      <c r="D27" s="17" t="s">
        <v>42</v>
      </c>
      <c r="E27" s="17" t="s">
        <v>48</v>
      </c>
      <c r="F27" s="18" t="s">
        <v>29</v>
      </c>
      <c r="G27" s="9">
        <v>18224</v>
      </c>
      <c r="H27" s="32">
        <v>51057</v>
      </c>
      <c r="I27" s="32">
        <f t="shared" si="1"/>
        <v>9700.83</v>
      </c>
      <c r="J27" s="32">
        <f t="shared" si="2"/>
        <v>60757.83</v>
      </c>
      <c r="K27" s="32">
        <v>60757.83</v>
      </c>
      <c r="L27" s="32">
        <f t="shared" si="3"/>
        <v>0</v>
      </c>
      <c r="M27" s="16" t="s">
        <v>36</v>
      </c>
    </row>
    <row r="28" spans="1:13" ht="22.5" x14ac:dyDescent="0.25">
      <c r="A28" s="9">
        <v>22</v>
      </c>
      <c r="B28" s="8">
        <v>45130</v>
      </c>
      <c r="C28" s="8" t="s">
        <v>40</v>
      </c>
      <c r="D28" s="17" t="s">
        <v>42</v>
      </c>
      <c r="E28" s="17" t="s">
        <v>49</v>
      </c>
      <c r="F28" s="18" t="s">
        <v>29</v>
      </c>
      <c r="G28" s="9">
        <v>18225</v>
      </c>
      <c r="H28" s="32">
        <v>55618</v>
      </c>
      <c r="I28" s="32">
        <f t="shared" si="1"/>
        <v>10567.42</v>
      </c>
      <c r="J28" s="32">
        <f>+H28</f>
        <v>55618</v>
      </c>
      <c r="K28" s="32">
        <v>55618</v>
      </c>
      <c r="L28" s="32">
        <f t="shared" si="3"/>
        <v>0</v>
      </c>
      <c r="M28" s="15" t="s">
        <v>35</v>
      </c>
    </row>
    <row r="29" spans="1:13" ht="15" x14ac:dyDescent="0.25">
      <c r="A29" s="9">
        <v>23</v>
      </c>
      <c r="B29" s="8">
        <v>45159</v>
      </c>
      <c r="C29" s="8" t="s">
        <v>40</v>
      </c>
      <c r="D29" s="17" t="s">
        <v>42</v>
      </c>
      <c r="E29" s="17" t="s">
        <v>47</v>
      </c>
      <c r="F29" s="18" t="s">
        <v>28</v>
      </c>
      <c r="G29" s="9">
        <v>18226</v>
      </c>
      <c r="H29" s="32">
        <v>88909</v>
      </c>
      <c r="I29" s="32">
        <f t="shared" si="1"/>
        <v>16892.71</v>
      </c>
      <c r="J29" s="32">
        <f t="shared" si="2"/>
        <v>105801.70999999999</v>
      </c>
      <c r="K29" s="32">
        <v>105801.70999999999</v>
      </c>
      <c r="L29" s="32">
        <f t="shared" si="3"/>
        <v>0</v>
      </c>
      <c r="M29" s="15" t="s">
        <v>35</v>
      </c>
    </row>
    <row r="30" spans="1:13" ht="22.5" x14ac:dyDescent="0.25">
      <c r="A30" s="9">
        <v>24</v>
      </c>
      <c r="B30" s="8">
        <v>45291</v>
      </c>
      <c r="C30" s="8" t="s">
        <v>40</v>
      </c>
      <c r="D30" s="17" t="s">
        <v>42</v>
      </c>
      <c r="E30" s="17" t="s">
        <v>47</v>
      </c>
      <c r="F30" s="18" t="s">
        <v>29</v>
      </c>
      <c r="G30" s="9">
        <v>18227</v>
      </c>
      <c r="H30" s="32">
        <v>92688</v>
      </c>
      <c r="I30" s="32">
        <f t="shared" si="1"/>
        <v>17610.72</v>
      </c>
      <c r="J30" s="32">
        <f t="shared" si="2"/>
        <v>110298.72</v>
      </c>
      <c r="K30" s="32">
        <v>110298.72</v>
      </c>
      <c r="L30" s="32">
        <f t="shared" si="3"/>
        <v>0</v>
      </c>
      <c r="M30" s="14" t="s">
        <v>34</v>
      </c>
    </row>
    <row r="31" spans="1:13" ht="15" x14ac:dyDescent="0.25">
      <c r="A31" s="9">
        <v>25</v>
      </c>
      <c r="B31" s="8">
        <v>45199</v>
      </c>
      <c r="C31" s="8" t="s">
        <v>15</v>
      </c>
      <c r="D31" s="17" t="s">
        <v>42</v>
      </c>
      <c r="E31" s="17" t="s">
        <v>47</v>
      </c>
      <c r="F31" s="18" t="s">
        <v>27</v>
      </c>
      <c r="G31" s="9">
        <v>18228</v>
      </c>
      <c r="H31" s="32">
        <v>37407</v>
      </c>
      <c r="I31" s="32">
        <f t="shared" si="1"/>
        <v>7107.33</v>
      </c>
      <c r="J31" s="32">
        <f t="shared" si="2"/>
        <v>44514.33</v>
      </c>
      <c r="K31" s="32">
        <v>21621.66</v>
      </c>
      <c r="L31" s="32">
        <f t="shared" si="3"/>
        <v>22892.670000000002</v>
      </c>
      <c r="M31" s="14" t="s">
        <v>34</v>
      </c>
    </row>
    <row r="32" spans="1:13" ht="15" x14ac:dyDescent="0.25">
      <c r="A32" s="9">
        <v>26</v>
      </c>
      <c r="B32" s="8">
        <v>45291</v>
      </c>
      <c r="C32" s="8" t="s">
        <v>40</v>
      </c>
      <c r="D32" s="17" t="s">
        <v>42</v>
      </c>
      <c r="E32" s="17" t="s">
        <v>48</v>
      </c>
      <c r="F32" s="18" t="s">
        <v>27</v>
      </c>
      <c r="G32" s="9">
        <v>18229</v>
      </c>
      <c r="H32" s="32">
        <v>30872</v>
      </c>
      <c r="I32" s="32">
        <f t="shared" si="1"/>
        <v>5865.68</v>
      </c>
      <c r="J32" s="32">
        <f t="shared" si="2"/>
        <v>36737.68</v>
      </c>
      <c r="K32" s="32">
        <v>22603.360000000001</v>
      </c>
      <c r="L32" s="32">
        <f t="shared" si="3"/>
        <v>14134.32</v>
      </c>
      <c r="M32" s="16" t="s">
        <v>36</v>
      </c>
    </row>
    <row r="33" spans="1:13" ht="15" x14ac:dyDescent="0.25">
      <c r="A33" s="9">
        <v>27</v>
      </c>
      <c r="B33" s="8">
        <v>45237</v>
      </c>
      <c r="C33" s="8" t="s">
        <v>40</v>
      </c>
      <c r="D33" s="17" t="s">
        <v>42</v>
      </c>
      <c r="E33" s="17" t="s">
        <v>50</v>
      </c>
      <c r="F33" s="18" t="s">
        <v>28</v>
      </c>
      <c r="G33" s="9">
        <v>18230</v>
      </c>
      <c r="H33" s="32">
        <v>69830</v>
      </c>
      <c r="I33" s="32">
        <f t="shared" si="1"/>
        <v>13267.7</v>
      </c>
      <c r="J33" s="32">
        <f t="shared" si="2"/>
        <v>83097.7</v>
      </c>
      <c r="K33" s="32">
        <v>56365.4</v>
      </c>
      <c r="L33" s="32">
        <f t="shared" si="3"/>
        <v>26732.299999999996</v>
      </c>
      <c r="M33" s="16" t="s">
        <v>36</v>
      </c>
    </row>
    <row r="34" spans="1:13" ht="15" x14ac:dyDescent="0.25">
      <c r="A34" s="9">
        <v>28</v>
      </c>
      <c r="B34" s="8">
        <v>45265</v>
      </c>
      <c r="C34" s="8" t="s">
        <v>40</v>
      </c>
      <c r="D34" s="17" t="s">
        <v>42</v>
      </c>
      <c r="E34" s="17" t="s">
        <v>47</v>
      </c>
      <c r="F34" s="18" t="s">
        <v>28</v>
      </c>
      <c r="G34" s="9">
        <v>18231</v>
      </c>
      <c r="H34" s="32">
        <v>7593</v>
      </c>
      <c r="I34" s="32">
        <f t="shared" si="1"/>
        <v>1442.67</v>
      </c>
      <c r="J34" s="32">
        <f t="shared" si="2"/>
        <v>9035.67</v>
      </c>
      <c r="K34" s="32">
        <v>8478.34</v>
      </c>
      <c r="L34" s="32">
        <f t="shared" si="3"/>
        <v>557.32999999999993</v>
      </c>
      <c r="M34" s="14" t="s">
        <v>34</v>
      </c>
    </row>
  </sheetData>
  <mergeCells count="1">
    <mergeCell ref="D3:E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pane ySplit="7" topLeftCell="A8" activePane="bottomLeft" state="frozen"/>
      <selection pane="bottomLeft"/>
    </sheetView>
  </sheetViews>
  <sheetFormatPr baseColWidth="10" defaultRowHeight="15" customHeight="1" x14ac:dyDescent="0.25"/>
  <cols>
    <col min="1" max="1" width="11.42578125" style="33"/>
    <col min="2" max="2" width="11.42578125" style="1"/>
    <col min="3" max="3" width="16.28515625" style="1" customWidth="1"/>
    <col min="4" max="4" width="28.7109375" style="1" customWidth="1"/>
    <col min="5" max="5" width="30.42578125" style="1" customWidth="1"/>
    <col min="6" max="6" width="15.28515625" style="34" bestFit="1" customWidth="1"/>
    <col min="7" max="7" width="15.85546875" style="34" customWidth="1"/>
    <col min="8" max="8" width="16.28515625" style="34" customWidth="1"/>
    <col min="9" max="9" width="15.42578125" style="1" customWidth="1"/>
    <col min="10" max="16384" width="11.42578125" style="1"/>
  </cols>
  <sheetData>
    <row r="1" spans="1:9" s="31" customFormat="1" ht="27.75" customHeight="1" x14ac:dyDescent="0.25">
      <c r="A1" s="30" t="s">
        <v>125</v>
      </c>
    </row>
    <row r="5" spans="1:9" ht="15" customHeight="1" x14ac:dyDescent="0.25">
      <c r="A5" s="55"/>
      <c r="B5" s="56"/>
      <c r="C5" s="56"/>
      <c r="D5" s="56"/>
      <c r="E5" s="56"/>
      <c r="F5" s="57">
        <f>SUM(F8:F136)</f>
        <v>951477</v>
      </c>
      <c r="G5" s="57">
        <f t="shared" ref="G5:H5" si="0">SUM(G8:G136)</f>
        <v>180780.63000000003</v>
      </c>
      <c r="H5" s="57">
        <f t="shared" si="0"/>
        <v>1132257.6300000001</v>
      </c>
      <c r="I5" s="57"/>
    </row>
    <row r="6" spans="1:9" ht="5.25" customHeight="1" x14ac:dyDescent="0.25"/>
    <row r="7" spans="1:9" ht="15" customHeight="1" x14ac:dyDescent="0.25">
      <c r="A7" s="58" t="s">
        <v>1</v>
      </c>
      <c r="B7" s="59" t="s">
        <v>2</v>
      </c>
      <c r="C7" s="59" t="s">
        <v>119</v>
      </c>
      <c r="D7" s="59" t="s">
        <v>56</v>
      </c>
      <c r="E7" s="59" t="s">
        <v>58</v>
      </c>
      <c r="F7" s="60" t="s">
        <v>51</v>
      </c>
      <c r="G7" s="60" t="s">
        <v>57</v>
      </c>
      <c r="H7" s="60" t="s">
        <v>53</v>
      </c>
      <c r="I7" s="60" t="s">
        <v>82</v>
      </c>
    </row>
    <row r="8" spans="1:9" ht="15" customHeight="1" x14ac:dyDescent="0.25">
      <c r="A8" s="35">
        <v>1</v>
      </c>
      <c r="B8" s="49">
        <v>44928</v>
      </c>
      <c r="C8" s="49" t="s">
        <v>121</v>
      </c>
      <c r="D8" s="50" t="s">
        <v>79</v>
      </c>
      <c r="E8" s="50" t="s">
        <v>78</v>
      </c>
      <c r="F8" s="37">
        <v>1305</v>
      </c>
      <c r="G8" s="37">
        <f>+F8*19%</f>
        <v>247.95000000000002</v>
      </c>
      <c r="H8" s="37">
        <f>+F8+G8</f>
        <v>1552.95</v>
      </c>
      <c r="I8" s="14" t="s">
        <v>34</v>
      </c>
    </row>
    <row r="9" spans="1:9" ht="15" customHeight="1" x14ac:dyDescent="0.25">
      <c r="A9" s="35">
        <v>2</v>
      </c>
      <c r="B9" s="49">
        <v>44931</v>
      </c>
      <c r="C9" s="49" t="s">
        <v>27</v>
      </c>
      <c r="D9" s="50" t="s">
        <v>72</v>
      </c>
      <c r="E9" s="50" t="s">
        <v>71</v>
      </c>
      <c r="F9" s="37">
        <v>900</v>
      </c>
      <c r="G9" s="37">
        <f t="shared" ref="G9:G72" si="1">+F9*19%</f>
        <v>171</v>
      </c>
      <c r="H9" s="37">
        <f t="shared" ref="H9:H72" si="2">+F9+G9</f>
        <v>1071</v>
      </c>
      <c r="I9" s="16" t="s">
        <v>36</v>
      </c>
    </row>
    <row r="10" spans="1:9" ht="15" customHeight="1" x14ac:dyDescent="0.25">
      <c r="A10" s="35">
        <v>3</v>
      </c>
      <c r="B10" s="8">
        <v>44937</v>
      </c>
      <c r="C10" s="49" t="s">
        <v>27</v>
      </c>
      <c r="D10" s="52" t="s">
        <v>70</v>
      </c>
      <c r="E10" s="52" t="s">
        <v>69</v>
      </c>
      <c r="F10" s="37">
        <v>1800</v>
      </c>
      <c r="G10" s="37">
        <f t="shared" si="1"/>
        <v>342</v>
      </c>
      <c r="H10" s="37">
        <f t="shared" si="2"/>
        <v>2142</v>
      </c>
      <c r="I10" s="15" t="s">
        <v>37</v>
      </c>
    </row>
    <row r="11" spans="1:9" ht="15" customHeight="1" x14ac:dyDescent="0.25">
      <c r="A11" s="35">
        <v>4</v>
      </c>
      <c r="B11" s="49">
        <v>44941</v>
      </c>
      <c r="C11" s="49" t="s">
        <v>27</v>
      </c>
      <c r="D11" s="50" t="s">
        <v>74</v>
      </c>
      <c r="E11" s="50" t="s">
        <v>73</v>
      </c>
      <c r="F11" s="37">
        <v>5000</v>
      </c>
      <c r="G11" s="37">
        <f t="shared" si="1"/>
        <v>950</v>
      </c>
      <c r="H11" s="37">
        <f t="shared" si="2"/>
        <v>5950</v>
      </c>
      <c r="I11" s="16" t="s">
        <v>36</v>
      </c>
    </row>
    <row r="12" spans="1:9" ht="15" customHeight="1" x14ac:dyDescent="0.25">
      <c r="A12" s="35">
        <v>5</v>
      </c>
      <c r="B12" s="8">
        <v>44957</v>
      </c>
      <c r="C12" s="49" t="s">
        <v>27</v>
      </c>
      <c r="D12" s="52" t="s">
        <v>66</v>
      </c>
      <c r="E12" s="52" t="s">
        <v>65</v>
      </c>
      <c r="F12" s="37">
        <v>2500</v>
      </c>
      <c r="G12" s="37">
        <f t="shared" si="1"/>
        <v>475</v>
      </c>
      <c r="H12" s="37">
        <f t="shared" si="2"/>
        <v>2975</v>
      </c>
      <c r="I12" s="14" t="s">
        <v>34</v>
      </c>
    </row>
    <row r="13" spans="1:9" ht="15" customHeight="1" x14ac:dyDescent="0.25">
      <c r="A13" s="35">
        <v>6</v>
      </c>
      <c r="B13" s="8">
        <v>44957</v>
      </c>
      <c r="C13" s="49" t="s">
        <v>27</v>
      </c>
      <c r="D13" s="52" t="s">
        <v>122</v>
      </c>
      <c r="E13" s="52" t="s">
        <v>64</v>
      </c>
      <c r="F13" s="37">
        <v>3000</v>
      </c>
      <c r="G13" s="37">
        <f t="shared" si="1"/>
        <v>570</v>
      </c>
      <c r="H13" s="37">
        <f t="shared" si="2"/>
        <v>3570</v>
      </c>
      <c r="I13" s="14" t="s">
        <v>34</v>
      </c>
    </row>
    <row r="14" spans="1:9" ht="15" customHeight="1" x14ac:dyDescent="0.25">
      <c r="A14" s="35">
        <v>7</v>
      </c>
      <c r="B14" s="49">
        <v>44957</v>
      </c>
      <c r="C14" s="49" t="s">
        <v>120</v>
      </c>
      <c r="D14" s="50" t="s">
        <v>79</v>
      </c>
      <c r="E14" s="50" t="s">
        <v>78</v>
      </c>
      <c r="F14" s="37">
        <v>1939</v>
      </c>
      <c r="G14" s="37">
        <f t="shared" si="1"/>
        <v>368.41</v>
      </c>
      <c r="H14" s="37">
        <f t="shared" si="2"/>
        <v>2307.41</v>
      </c>
      <c r="I14" s="14" t="s">
        <v>34</v>
      </c>
    </row>
    <row r="15" spans="1:9" ht="15" customHeight="1" x14ac:dyDescent="0.25">
      <c r="A15" s="35">
        <v>8</v>
      </c>
      <c r="B15" s="8">
        <v>44957</v>
      </c>
      <c r="C15" s="49" t="s">
        <v>27</v>
      </c>
      <c r="D15" s="52" t="s">
        <v>60</v>
      </c>
      <c r="E15" s="52" t="s">
        <v>59</v>
      </c>
      <c r="F15" s="37">
        <v>1000</v>
      </c>
      <c r="G15" s="37">
        <f t="shared" si="1"/>
        <v>190</v>
      </c>
      <c r="H15" s="37">
        <f t="shared" si="2"/>
        <v>1190</v>
      </c>
      <c r="I15" s="14" t="s">
        <v>34</v>
      </c>
    </row>
    <row r="16" spans="1:9" ht="15" customHeight="1" x14ac:dyDescent="0.25">
      <c r="A16" s="35">
        <v>9</v>
      </c>
      <c r="B16" s="8">
        <v>44957</v>
      </c>
      <c r="C16" s="49" t="s">
        <v>27</v>
      </c>
      <c r="D16" s="52" t="s">
        <v>60</v>
      </c>
      <c r="E16" s="52" t="s">
        <v>61</v>
      </c>
      <c r="F16" s="37">
        <v>900</v>
      </c>
      <c r="G16" s="37">
        <f t="shared" si="1"/>
        <v>171</v>
      </c>
      <c r="H16" s="37">
        <f t="shared" si="2"/>
        <v>1071</v>
      </c>
      <c r="I16" s="14" t="s">
        <v>34</v>
      </c>
    </row>
    <row r="17" spans="1:9" ht="15" customHeight="1" x14ac:dyDescent="0.25">
      <c r="A17" s="35">
        <v>10</v>
      </c>
      <c r="B17" s="8">
        <v>44957</v>
      </c>
      <c r="C17" s="49" t="s">
        <v>121</v>
      </c>
      <c r="D17" s="52" t="s">
        <v>62</v>
      </c>
      <c r="E17" s="52" t="s">
        <v>63</v>
      </c>
      <c r="F17" s="37">
        <v>1461</v>
      </c>
      <c r="G17" s="37">
        <f t="shared" si="1"/>
        <v>277.58999999999997</v>
      </c>
      <c r="H17" s="37">
        <f t="shared" si="2"/>
        <v>1738.59</v>
      </c>
      <c r="I17" s="14" t="s">
        <v>34</v>
      </c>
    </row>
    <row r="18" spans="1:9" ht="15" customHeight="1" x14ac:dyDescent="0.25">
      <c r="A18" s="35">
        <v>11</v>
      </c>
      <c r="B18" s="49">
        <v>44962</v>
      </c>
      <c r="C18" s="49" t="s">
        <v>27</v>
      </c>
      <c r="D18" s="50" t="s">
        <v>72</v>
      </c>
      <c r="E18" s="50" t="s">
        <v>71</v>
      </c>
      <c r="F18" s="37">
        <v>900</v>
      </c>
      <c r="G18" s="37">
        <f t="shared" si="1"/>
        <v>171</v>
      </c>
      <c r="H18" s="37">
        <f t="shared" si="2"/>
        <v>1071</v>
      </c>
      <c r="I18" s="14" t="s">
        <v>34</v>
      </c>
    </row>
    <row r="19" spans="1:9" ht="15" customHeight="1" x14ac:dyDescent="0.25">
      <c r="A19" s="35">
        <v>12</v>
      </c>
      <c r="B19" s="49">
        <v>44970</v>
      </c>
      <c r="C19" s="49" t="s">
        <v>121</v>
      </c>
      <c r="D19" s="52" t="s">
        <v>70</v>
      </c>
      <c r="E19" s="52" t="s">
        <v>69</v>
      </c>
      <c r="F19" s="37">
        <v>1250</v>
      </c>
      <c r="G19" s="37">
        <f t="shared" si="1"/>
        <v>237.5</v>
      </c>
      <c r="H19" s="37">
        <f t="shared" si="2"/>
        <v>1487.5</v>
      </c>
      <c r="I19" s="51" t="s">
        <v>118</v>
      </c>
    </row>
    <row r="20" spans="1:9" ht="15" customHeight="1" x14ac:dyDescent="0.25">
      <c r="A20" s="35">
        <v>13</v>
      </c>
      <c r="B20" s="49">
        <v>44973</v>
      </c>
      <c r="C20" s="49" t="s">
        <v>27</v>
      </c>
      <c r="D20" s="50" t="s">
        <v>79</v>
      </c>
      <c r="E20" s="50" t="s">
        <v>78</v>
      </c>
      <c r="F20" s="37">
        <v>1954</v>
      </c>
      <c r="G20" s="37">
        <f t="shared" si="1"/>
        <v>371.26</v>
      </c>
      <c r="H20" s="37">
        <f t="shared" si="2"/>
        <v>2325.2600000000002</v>
      </c>
      <c r="I20" s="15" t="s">
        <v>37</v>
      </c>
    </row>
    <row r="21" spans="1:9" ht="15" customHeight="1" x14ac:dyDescent="0.25">
      <c r="A21" s="35">
        <v>14</v>
      </c>
      <c r="B21" s="8">
        <v>44985</v>
      </c>
      <c r="C21" s="49" t="s">
        <v>27</v>
      </c>
      <c r="D21" s="52" t="s">
        <v>66</v>
      </c>
      <c r="E21" s="52" t="s">
        <v>65</v>
      </c>
      <c r="F21" s="37">
        <v>2500</v>
      </c>
      <c r="G21" s="37">
        <f t="shared" si="1"/>
        <v>475</v>
      </c>
      <c r="H21" s="37">
        <f t="shared" si="2"/>
        <v>2975</v>
      </c>
      <c r="I21" s="16" t="s">
        <v>36</v>
      </c>
    </row>
    <row r="22" spans="1:9" ht="15" customHeight="1" x14ac:dyDescent="0.25">
      <c r="A22" s="35">
        <v>15</v>
      </c>
      <c r="B22" s="8">
        <v>44985</v>
      </c>
      <c r="C22" s="49" t="s">
        <v>121</v>
      </c>
      <c r="D22" s="52" t="s">
        <v>122</v>
      </c>
      <c r="E22" s="52" t="s">
        <v>64</v>
      </c>
      <c r="F22" s="37">
        <v>3000</v>
      </c>
      <c r="G22" s="37">
        <f t="shared" si="1"/>
        <v>570</v>
      </c>
      <c r="H22" s="37">
        <f t="shared" si="2"/>
        <v>3570</v>
      </c>
      <c r="I22" s="14" t="s">
        <v>34</v>
      </c>
    </row>
    <row r="23" spans="1:9" ht="15" customHeight="1" x14ac:dyDescent="0.25">
      <c r="A23" s="35">
        <v>16</v>
      </c>
      <c r="B23" s="8">
        <v>44985</v>
      </c>
      <c r="C23" s="49" t="s">
        <v>121</v>
      </c>
      <c r="D23" s="52" t="s">
        <v>60</v>
      </c>
      <c r="E23" s="52" t="s">
        <v>59</v>
      </c>
      <c r="F23" s="37">
        <v>1000</v>
      </c>
      <c r="G23" s="37">
        <f t="shared" si="1"/>
        <v>190</v>
      </c>
      <c r="H23" s="37">
        <f t="shared" si="2"/>
        <v>1190</v>
      </c>
      <c r="I23" s="15" t="s">
        <v>37</v>
      </c>
    </row>
    <row r="24" spans="1:9" ht="15" customHeight="1" x14ac:dyDescent="0.25">
      <c r="A24" s="35">
        <v>17</v>
      </c>
      <c r="B24" s="8">
        <v>44985</v>
      </c>
      <c r="C24" s="49" t="s">
        <v>121</v>
      </c>
      <c r="D24" s="52" t="s">
        <v>60</v>
      </c>
      <c r="E24" s="52" t="s">
        <v>61</v>
      </c>
      <c r="F24" s="37">
        <v>900</v>
      </c>
      <c r="G24" s="37">
        <f t="shared" si="1"/>
        <v>171</v>
      </c>
      <c r="H24" s="37">
        <f t="shared" si="2"/>
        <v>1071</v>
      </c>
      <c r="I24" s="16" t="s">
        <v>36</v>
      </c>
    </row>
    <row r="25" spans="1:9" ht="15" customHeight="1" x14ac:dyDescent="0.25">
      <c r="A25" s="35">
        <v>18</v>
      </c>
      <c r="B25" s="8">
        <v>44985</v>
      </c>
      <c r="C25" s="49" t="s">
        <v>120</v>
      </c>
      <c r="D25" s="52" t="s">
        <v>62</v>
      </c>
      <c r="E25" s="52" t="s">
        <v>63</v>
      </c>
      <c r="F25" s="37">
        <v>1153</v>
      </c>
      <c r="G25" s="37">
        <f t="shared" si="1"/>
        <v>219.07</v>
      </c>
      <c r="H25" s="37">
        <f t="shared" si="2"/>
        <v>1372.07</v>
      </c>
      <c r="I25" s="14" t="s">
        <v>34</v>
      </c>
    </row>
    <row r="26" spans="1:9" ht="15" customHeight="1" x14ac:dyDescent="0.25">
      <c r="A26" s="35">
        <v>19</v>
      </c>
      <c r="B26" s="49">
        <v>44986</v>
      </c>
      <c r="C26" s="49" t="s">
        <v>121</v>
      </c>
      <c r="D26" s="50" t="s">
        <v>79</v>
      </c>
      <c r="E26" s="50" t="s">
        <v>78</v>
      </c>
      <c r="F26" s="37">
        <v>1844</v>
      </c>
      <c r="G26" s="37">
        <f t="shared" si="1"/>
        <v>350.36</v>
      </c>
      <c r="H26" s="37">
        <f t="shared" si="2"/>
        <v>2194.36</v>
      </c>
      <c r="I26" s="14" t="s">
        <v>34</v>
      </c>
    </row>
    <row r="27" spans="1:9" ht="15" customHeight="1" x14ac:dyDescent="0.25">
      <c r="A27" s="35">
        <v>20</v>
      </c>
      <c r="B27" s="49">
        <v>44990</v>
      </c>
      <c r="C27" s="49" t="s">
        <v>27</v>
      </c>
      <c r="D27" s="50" t="s">
        <v>72</v>
      </c>
      <c r="E27" s="50" t="s">
        <v>71</v>
      </c>
      <c r="F27" s="37">
        <v>900</v>
      </c>
      <c r="G27" s="37">
        <f t="shared" si="1"/>
        <v>171</v>
      </c>
      <c r="H27" s="37">
        <f t="shared" si="2"/>
        <v>1071</v>
      </c>
      <c r="I27" s="15" t="s">
        <v>37</v>
      </c>
    </row>
    <row r="28" spans="1:9" ht="15" customHeight="1" x14ac:dyDescent="0.25">
      <c r="A28" s="35">
        <v>21</v>
      </c>
      <c r="B28" s="49">
        <v>44990</v>
      </c>
      <c r="C28" s="49" t="s">
        <v>120</v>
      </c>
      <c r="D28" s="50" t="s">
        <v>80</v>
      </c>
      <c r="E28" s="50" t="s">
        <v>81</v>
      </c>
      <c r="F28" s="37">
        <v>500</v>
      </c>
      <c r="G28" s="37">
        <f t="shared" si="1"/>
        <v>95</v>
      </c>
      <c r="H28" s="37">
        <f t="shared" si="2"/>
        <v>595</v>
      </c>
      <c r="I28" s="15" t="s">
        <v>37</v>
      </c>
    </row>
    <row r="29" spans="1:9" ht="15" customHeight="1" x14ac:dyDescent="0.25">
      <c r="A29" s="35">
        <v>22</v>
      </c>
      <c r="B29" s="49">
        <v>45003</v>
      </c>
      <c r="C29" s="49" t="s">
        <v>120</v>
      </c>
      <c r="D29" s="52" t="s">
        <v>70</v>
      </c>
      <c r="E29" s="52" t="s">
        <v>69</v>
      </c>
      <c r="F29" s="37">
        <v>1250</v>
      </c>
      <c r="G29" s="37">
        <f t="shared" si="1"/>
        <v>237.5</v>
      </c>
      <c r="H29" s="37">
        <f t="shared" si="2"/>
        <v>1487.5</v>
      </c>
      <c r="I29" s="15" t="s">
        <v>37</v>
      </c>
    </row>
    <row r="30" spans="1:9" ht="15" customHeight="1" x14ac:dyDescent="0.25">
      <c r="A30" s="35">
        <v>23</v>
      </c>
      <c r="B30" s="49">
        <v>45006</v>
      </c>
      <c r="C30" s="49" t="s">
        <v>120</v>
      </c>
      <c r="D30" s="50" t="s">
        <v>79</v>
      </c>
      <c r="E30" s="50" t="s">
        <v>78</v>
      </c>
      <c r="F30" s="37">
        <v>1714</v>
      </c>
      <c r="G30" s="37">
        <f t="shared" si="1"/>
        <v>325.66000000000003</v>
      </c>
      <c r="H30" s="37">
        <f t="shared" si="2"/>
        <v>2039.66</v>
      </c>
      <c r="I30" s="15" t="s">
        <v>37</v>
      </c>
    </row>
    <row r="31" spans="1:9" ht="15" customHeight="1" x14ac:dyDescent="0.25">
      <c r="A31" s="35">
        <v>24</v>
      </c>
      <c r="B31" s="8">
        <v>45016</v>
      </c>
      <c r="C31" s="49" t="s">
        <v>27</v>
      </c>
      <c r="D31" s="52" t="s">
        <v>66</v>
      </c>
      <c r="E31" s="52" t="s">
        <v>65</v>
      </c>
      <c r="F31" s="37">
        <v>2500</v>
      </c>
      <c r="G31" s="37">
        <f t="shared" si="1"/>
        <v>475</v>
      </c>
      <c r="H31" s="37">
        <f t="shared" si="2"/>
        <v>2975</v>
      </c>
      <c r="I31" s="51" t="s">
        <v>118</v>
      </c>
    </row>
    <row r="32" spans="1:9" ht="15" customHeight="1" x14ac:dyDescent="0.25">
      <c r="A32" s="35">
        <v>25</v>
      </c>
      <c r="B32" s="49">
        <v>45016</v>
      </c>
      <c r="C32" s="49" t="s">
        <v>120</v>
      </c>
      <c r="D32" s="52" t="s">
        <v>68</v>
      </c>
      <c r="E32" s="52" t="s">
        <v>67</v>
      </c>
      <c r="F32" s="37">
        <v>60000</v>
      </c>
      <c r="G32" s="37">
        <f t="shared" si="1"/>
        <v>11400</v>
      </c>
      <c r="H32" s="37">
        <f t="shared" si="2"/>
        <v>71400</v>
      </c>
      <c r="I32" s="15" t="s">
        <v>37</v>
      </c>
    </row>
    <row r="33" spans="1:9" ht="15" customHeight="1" x14ac:dyDescent="0.25">
      <c r="A33" s="35">
        <v>26</v>
      </c>
      <c r="B33" s="49">
        <v>45016</v>
      </c>
      <c r="C33" s="49" t="s">
        <v>27</v>
      </c>
      <c r="D33" s="52" t="s">
        <v>68</v>
      </c>
      <c r="E33" s="52" t="s">
        <v>123</v>
      </c>
      <c r="F33" s="37">
        <v>58000</v>
      </c>
      <c r="G33" s="37">
        <f t="shared" si="1"/>
        <v>11020</v>
      </c>
      <c r="H33" s="37">
        <f t="shared" si="2"/>
        <v>69020</v>
      </c>
      <c r="I33" s="15" t="s">
        <v>37</v>
      </c>
    </row>
    <row r="34" spans="1:9" ht="15" customHeight="1" x14ac:dyDescent="0.25">
      <c r="A34" s="35">
        <v>27</v>
      </c>
      <c r="B34" s="8">
        <v>45016</v>
      </c>
      <c r="C34" s="49" t="s">
        <v>120</v>
      </c>
      <c r="D34" s="52" t="s">
        <v>122</v>
      </c>
      <c r="E34" s="52" t="s">
        <v>64</v>
      </c>
      <c r="F34" s="37">
        <v>3000</v>
      </c>
      <c r="G34" s="37">
        <f t="shared" si="1"/>
        <v>570</v>
      </c>
      <c r="H34" s="37">
        <f t="shared" si="2"/>
        <v>3570</v>
      </c>
      <c r="I34" s="14" t="s">
        <v>34</v>
      </c>
    </row>
    <row r="35" spans="1:9" ht="15" customHeight="1" x14ac:dyDescent="0.25">
      <c r="A35" s="35">
        <v>28</v>
      </c>
      <c r="B35" s="8">
        <v>45016</v>
      </c>
      <c r="C35" s="49" t="s">
        <v>120</v>
      </c>
      <c r="D35" s="52" t="s">
        <v>60</v>
      </c>
      <c r="E35" s="52" t="s">
        <v>59</v>
      </c>
      <c r="F35" s="37">
        <v>1000</v>
      </c>
      <c r="G35" s="37">
        <f t="shared" si="1"/>
        <v>190</v>
      </c>
      <c r="H35" s="37">
        <f t="shared" si="2"/>
        <v>1190</v>
      </c>
      <c r="I35" s="15" t="s">
        <v>37</v>
      </c>
    </row>
    <row r="36" spans="1:9" ht="15" customHeight="1" x14ac:dyDescent="0.25">
      <c r="A36" s="35">
        <v>29</v>
      </c>
      <c r="B36" s="8">
        <v>45016</v>
      </c>
      <c r="C36" s="49" t="s">
        <v>120</v>
      </c>
      <c r="D36" s="52" t="s">
        <v>60</v>
      </c>
      <c r="E36" s="52" t="s">
        <v>61</v>
      </c>
      <c r="F36" s="37">
        <v>900</v>
      </c>
      <c r="G36" s="37">
        <f t="shared" si="1"/>
        <v>171</v>
      </c>
      <c r="H36" s="37">
        <f t="shared" si="2"/>
        <v>1071</v>
      </c>
      <c r="I36" s="16" t="s">
        <v>36</v>
      </c>
    </row>
    <row r="37" spans="1:9" ht="15" customHeight="1" x14ac:dyDescent="0.25">
      <c r="A37" s="35">
        <v>30</v>
      </c>
      <c r="B37" s="8">
        <v>45016</v>
      </c>
      <c r="C37" s="49" t="s">
        <v>27</v>
      </c>
      <c r="D37" s="52" t="s">
        <v>62</v>
      </c>
      <c r="E37" s="52" t="s">
        <v>63</v>
      </c>
      <c r="F37" s="37">
        <v>1479</v>
      </c>
      <c r="G37" s="37">
        <f t="shared" si="1"/>
        <v>281.01</v>
      </c>
      <c r="H37" s="37">
        <f t="shared" si="2"/>
        <v>1760.01</v>
      </c>
      <c r="I37" s="14" t="s">
        <v>34</v>
      </c>
    </row>
    <row r="38" spans="1:9" ht="15" customHeight="1" x14ac:dyDescent="0.25">
      <c r="A38" s="35">
        <v>31</v>
      </c>
      <c r="B38" s="49">
        <v>45019</v>
      </c>
      <c r="C38" s="49" t="s">
        <v>27</v>
      </c>
      <c r="D38" s="50" t="s">
        <v>79</v>
      </c>
      <c r="E38" s="50" t="s">
        <v>78</v>
      </c>
      <c r="F38" s="37">
        <v>1470</v>
      </c>
      <c r="G38" s="37">
        <f t="shared" si="1"/>
        <v>279.3</v>
      </c>
      <c r="H38" s="37">
        <f t="shared" si="2"/>
        <v>1749.3</v>
      </c>
      <c r="I38" s="14" t="s">
        <v>34</v>
      </c>
    </row>
    <row r="39" spans="1:9" ht="15" customHeight="1" x14ac:dyDescent="0.25">
      <c r="A39" s="35">
        <v>32</v>
      </c>
      <c r="B39" s="49">
        <v>45021</v>
      </c>
      <c r="C39" s="49" t="s">
        <v>27</v>
      </c>
      <c r="D39" s="50" t="s">
        <v>72</v>
      </c>
      <c r="E39" s="50" t="s">
        <v>71</v>
      </c>
      <c r="F39" s="37">
        <v>900</v>
      </c>
      <c r="G39" s="37">
        <f t="shared" si="1"/>
        <v>171</v>
      </c>
      <c r="H39" s="37">
        <f t="shared" si="2"/>
        <v>1071</v>
      </c>
      <c r="I39" s="14" t="s">
        <v>34</v>
      </c>
    </row>
    <row r="40" spans="1:9" ht="15" customHeight="1" x14ac:dyDescent="0.25">
      <c r="A40" s="35">
        <v>33</v>
      </c>
      <c r="B40" s="49">
        <v>45037</v>
      </c>
      <c r="C40" s="49" t="s">
        <v>121</v>
      </c>
      <c r="D40" s="50" t="s">
        <v>79</v>
      </c>
      <c r="E40" s="50" t="s">
        <v>78</v>
      </c>
      <c r="F40" s="37">
        <v>1730</v>
      </c>
      <c r="G40" s="37">
        <f t="shared" si="1"/>
        <v>328.7</v>
      </c>
      <c r="H40" s="37">
        <f t="shared" si="2"/>
        <v>2058.6999999999998</v>
      </c>
      <c r="I40" s="14" t="s">
        <v>34</v>
      </c>
    </row>
    <row r="41" spans="1:9" ht="15" customHeight="1" x14ac:dyDescent="0.25">
      <c r="A41" s="35">
        <v>34</v>
      </c>
      <c r="B41" s="49">
        <v>45045</v>
      </c>
      <c r="C41" s="49" t="s">
        <v>120</v>
      </c>
      <c r="D41" s="50" t="s">
        <v>80</v>
      </c>
      <c r="E41" s="50" t="s">
        <v>81</v>
      </c>
      <c r="F41" s="37">
        <v>4600</v>
      </c>
      <c r="G41" s="37">
        <f t="shared" si="1"/>
        <v>874</v>
      </c>
      <c r="H41" s="37">
        <f t="shared" si="2"/>
        <v>5474</v>
      </c>
      <c r="I41" s="15" t="s">
        <v>37</v>
      </c>
    </row>
    <row r="42" spans="1:9" ht="15" customHeight="1" x14ac:dyDescent="0.25">
      <c r="A42" s="35">
        <v>35</v>
      </c>
      <c r="B42" s="8">
        <v>45046</v>
      </c>
      <c r="C42" s="49" t="s">
        <v>27</v>
      </c>
      <c r="D42" s="52" t="s">
        <v>66</v>
      </c>
      <c r="E42" s="52" t="s">
        <v>65</v>
      </c>
      <c r="F42" s="37">
        <v>2500</v>
      </c>
      <c r="G42" s="37">
        <f t="shared" si="1"/>
        <v>475</v>
      </c>
      <c r="H42" s="37">
        <f t="shared" si="2"/>
        <v>2975</v>
      </c>
      <c r="I42" s="15" t="s">
        <v>37</v>
      </c>
    </row>
    <row r="43" spans="1:9" ht="15" customHeight="1" x14ac:dyDescent="0.25">
      <c r="A43" s="35">
        <v>36</v>
      </c>
      <c r="B43" s="8">
        <v>45046</v>
      </c>
      <c r="C43" s="49" t="s">
        <v>27</v>
      </c>
      <c r="D43" s="52" t="s">
        <v>122</v>
      </c>
      <c r="E43" s="52" t="s">
        <v>64</v>
      </c>
      <c r="F43" s="37">
        <v>3000</v>
      </c>
      <c r="G43" s="37">
        <f t="shared" si="1"/>
        <v>570</v>
      </c>
      <c r="H43" s="37">
        <f t="shared" si="2"/>
        <v>3570</v>
      </c>
      <c r="I43" s="15" t="s">
        <v>37</v>
      </c>
    </row>
    <row r="44" spans="1:9" ht="15" customHeight="1" x14ac:dyDescent="0.25">
      <c r="A44" s="35">
        <v>37</v>
      </c>
      <c r="B44" s="8">
        <v>45046</v>
      </c>
      <c r="C44" s="49" t="s">
        <v>27</v>
      </c>
      <c r="D44" s="52" t="s">
        <v>60</v>
      </c>
      <c r="E44" s="52" t="s">
        <v>59</v>
      </c>
      <c r="F44" s="37">
        <v>1000</v>
      </c>
      <c r="G44" s="37">
        <f t="shared" si="1"/>
        <v>190</v>
      </c>
      <c r="H44" s="37">
        <f t="shared" si="2"/>
        <v>1190</v>
      </c>
      <c r="I44" s="16" t="s">
        <v>36</v>
      </c>
    </row>
    <row r="45" spans="1:9" ht="15" customHeight="1" x14ac:dyDescent="0.25">
      <c r="A45" s="35">
        <v>38</v>
      </c>
      <c r="B45" s="8">
        <v>45046</v>
      </c>
      <c r="C45" s="49" t="s">
        <v>27</v>
      </c>
      <c r="D45" s="52" t="s">
        <v>60</v>
      </c>
      <c r="E45" s="52" t="s">
        <v>61</v>
      </c>
      <c r="F45" s="37">
        <v>900</v>
      </c>
      <c r="G45" s="37">
        <f t="shared" si="1"/>
        <v>171</v>
      </c>
      <c r="H45" s="37">
        <f t="shared" si="2"/>
        <v>1071</v>
      </c>
      <c r="I45" s="16" t="s">
        <v>36</v>
      </c>
    </row>
    <row r="46" spans="1:9" ht="15" customHeight="1" x14ac:dyDescent="0.25">
      <c r="A46" s="35">
        <v>39</v>
      </c>
      <c r="B46" s="8">
        <v>45046</v>
      </c>
      <c r="C46" s="49" t="s">
        <v>121</v>
      </c>
      <c r="D46" s="52" t="s">
        <v>62</v>
      </c>
      <c r="E46" s="52" t="s">
        <v>63</v>
      </c>
      <c r="F46" s="37">
        <v>1589</v>
      </c>
      <c r="G46" s="37">
        <f t="shared" si="1"/>
        <v>301.91000000000003</v>
      </c>
      <c r="H46" s="37">
        <f t="shared" si="2"/>
        <v>1890.91</v>
      </c>
      <c r="I46" s="15" t="s">
        <v>37</v>
      </c>
    </row>
    <row r="47" spans="1:9" ht="15" customHeight="1" x14ac:dyDescent="0.25">
      <c r="A47" s="35">
        <v>40</v>
      </c>
      <c r="B47" s="49">
        <v>45048</v>
      </c>
      <c r="C47" s="49" t="s">
        <v>121</v>
      </c>
      <c r="D47" s="50" t="s">
        <v>68</v>
      </c>
      <c r="E47" s="50" t="s">
        <v>75</v>
      </c>
      <c r="F47" s="37">
        <v>36500</v>
      </c>
      <c r="G47" s="37">
        <f t="shared" si="1"/>
        <v>6935</v>
      </c>
      <c r="H47" s="37">
        <f t="shared" si="2"/>
        <v>43435</v>
      </c>
      <c r="I47" s="15" t="s">
        <v>37</v>
      </c>
    </row>
    <row r="48" spans="1:9" ht="15" customHeight="1" x14ac:dyDescent="0.25">
      <c r="A48" s="35">
        <v>41</v>
      </c>
      <c r="B48" s="49">
        <v>45049</v>
      </c>
      <c r="C48" s="49" t="s">
        <v>121</v>
      </c>
      <c r="D48" s="50" t="s">
        <v>68</v>
      </c>
      <c r="E48" s="50" t="s">
        <v>75</v>
      </c>
      <c r="F48" s="37">
        <v>36500</v>
      </c>
      <c r="G48" s="37">
        <f t="shared" si="1"/>
        <v>6935</v>
      </c>
      <c r="H48" s="37">
        <f t="shared" si="2"/>
        <v>43435</v>
      </c>
      <c r="I48" s="15" t="s">
        <v>37</v>
      </c>
    </row>
    <row r="49" spans="1:9" ht="15" customHeight="1" x14ac:dyDescent="0.25">
      <c r="A49" s="35">
        <v>42</v>
      </c>
      <c r="B49" s="49">
        <v>45050</v>
      </c>
      <c r="C49" s="49" t="s">
        <v>121</v>
      </c>
      <c r="D49" s="50" t="s">
        <v>68</v>
      </c>
      <c r="E49" s="50" t="s">
        <v>75</v>
      </c>
      <c r="F49" s="37">
        <v>36500</v>
      </c>
      <c r="G49" s="37">
        <f t="shared" si="1"/>
        <v>6935</v>
      </c>
      <c r="H49" s="37">
        <f t="shared" si="2"/>
        <v>43435</v>
      </c>
      <c r="I49" s="14" t="s">
        <v>34</v>
      </c>
    </row>
    <row r="50" spans="1:9" ht="15" customHeight="1" x14ac:dyDescent="0.25">
      <c r="A50" s="35">
        <v>43</v>
      </c>
      <c r="B50" s="49">
        <v>45051</v>
      </c>
      <c r="C50" s="49" t="s">
        <v>120</v>
      </c>
      <c r="D50" s="50" t="s">
        <v>72</v>
      </c>
      <c r="E50" s="50" t="s">
        <v>71</v>
      </c>
      <c r="F50" s="37">
        <v>900</v>
      </c>
      <c r="G50" s="37">
        <f t="shared" si="1"/>
        <v>171</v>
      </c>
      <c r="H50" s="37">
        <f t="shared" si="2"/>
        <v>1071</v>
      </c>
      <c r="I50" s="15" t="s">
        <v>37</v>
      </c>
    </row>
    <row r="51" spans="1:9" ht="15" customHeight="1" x14ac:dyDescent="0.25">
      <c r="A51" s="35">
        <v>44</v>
      </c>
      <c r="B51" s="49">
        <v>45051</v>
      </c>
      <c r="C51" s="49" t="s">
        <v>121</v>
      </c>
      <c r="D51" s="50" t="s">
        <v>68</v>
      </c>
      <c r="E51" s="50" t="s">
        <v>75</v>
      </c>
      <c r="F51" s="37">
        <v>36500</v>
      </c>
      <c r="G51" s="37">
        <f t="shared" si="1"/>
        <v>6935</v>
      </c>
      <c r="H51" s="37">
        <f t="shared" si="2"/>
        <v>43435</v>
      </c>
      <c r="I51" s="14" t="s">
        <v>34</v>
      </c>
    </row>
    <row r="52" spans="1:9" ht="15" customHeight="1" x14ac:dyDescent="0.25">
      <c r="A52" s="35">
        <v>45</v>
      </c>
      <c r="B52" s="49">
        <v>45052</v>
      </c>
      <c r="C52" s="49" t="s">
        <v>121</v>
      </c>
      <c r="D52" s="50" t="s">
        <v>68</v>
      </c>
      <c r="E52" s="50" t="s">
        <v>75</v>
      </c>
      <c r="F52" s="37">
        <v>36500</v>
      </c>
      <c r="G52" s="37">
        <f t="shared" si="1"/>
        <v>6935</v>
      </c>
      <c r="H52" s="37">
        <f t="shared" si="2"/>
        <v>43435</v>
      </c>
      <c r="I52" s="15" t="s">
        <v>37</v>
      </c>
    </row>
    <row r="53" spans="1:9" ht="15" customHeight="1" x14ac:dyDescent="0.25">
      <c r="A53" s="35">
        <v>46</v>
      </c>
      <c r="B53" s="49">
        <v>45053</v>
      </c>
      <c r="C53" s="49" t="s">
        <v>121</v>
      </c>
      <c r="D53" s="50" t="s">
        <v>68</v>
      </c>
      <c r="E53" s="50" t="s">
        <v>75</v>
      </c>
      <c r="F53" s="37">
        <v>36500</v>
      </c>
      <c r="G53" s="37">
        <f t="shared" si="1"/>
        <v>6935</v>
      </c>
      <c r="H53" s="37">
        <f t="shared" si="2"/>
        <v>43435</v>
      </c>
      <c r="I53" s="14" t="s">
        <v>34</v>
      </c>
    </row>
    <row r="54" spans="1:9" ht="15" customHeight="1" x14ac:dyDescent="0.25">
      <c r="A54" s="35">
        <v>47</v>
      </c>
      <c r="B54" s="49">
        <v>45053</v>
      </c>
      <c r="C54" s="49" t="s">
        <v>120</v>
      </c>
      <c r="D54" s="50" t="s">
        <v>79</v>
      </c>
      <c r="E54" s="50" t="s">
        <v>78</v>
      </c>
      <c r="F54" s="37">
        <v>1691</v>
      </c>
      <c r="G54" s="37">
        <f t="shared" si="1"/>
        <v>321.29000000000002</v>
      </c>
      <c r="H54" s="37">
        <f t="shared" si="2"/>
        <v>2012.29</v>
      </c>
      <c r="I54" s="15" t="s">
        <v>37</v>
      </c>
    </row>
    <row r="55" spans="1:9" ht="15" customHeight="1" x14ac:dyDescent="0.25">
      <c r="A55" s="35">
        <v>48</v>
      </c>
      <c r="B55" s="49">
        <v>45054</v>
      </c>
      <c r="C55" s="49" t="s">
        <v>121</v>
      </c>
      <c r="D55" s="50" t="s">
        <v>68</v>
      </c>
      <c r="E55" s="50" t="s">
        <v>75</v>
      </c>
      <c r="F55" s="37">
        <v>36500</v>
      </c>
      <c r="G55" s="37">
        <f t="shared" si="1"/>
        <v>6935</v>
      </c>
      <c r="H55" s="37">
        <f t="shared" si="2"/>
        <v>43435</v>
      </c>
      <c r="I55" s="15" t="s">
        <v>37</v>
      </c>
    </row>
    <row r="56" spans="1:9" ht="15" customHeight="1" x14ac:dyDescent="0.25">
      <c r="A56" s="35">
        <v>49</v>
      </c>
      <c r="B56" s="8">
        <v>45067</v>
      </c>
      <c r="C56" s="49" t="s">
        <v>27</v>
      </c>
      <c r="D56" s="52" t="s">
        <v>70</v>
      </c>
      <c r="E56" s="52" t="s">
        <v>69</v>
      </c>
      <c r="F56" s="37">
        <v>1250</v>
      </c>
      <c r="G56" s="37">
        <f t="shared" si="1"/>
        <v>237.5</v>
      </c>
      <c r="H56" s="37">
        <f t="shared" si="2"/>
        <v>1487.5</v>
      </c>
      <c r="I56" s="51" t="s">
        <v>118</v>
      </c>
    </row>
    <row r="57" spans="1:9" ht="15" customHeight="1" x14ac:dyDescent="0.25">
      <c r="A57" s="35">
        <v>50</v>
      </c>
      <c r="B57" s="49">
        <v>45070</v>
      </c>
      <c r="C57" s="49" t="s">
        <v>27</v>
      </c>
      <c r="D57" s="50" t="s">
        <v>79</v>
      </c>
      <c r="E57" s="50" t="s">
        <v>78</v>
      </c>
      <c r="F57" s="37">
        <v>2136</v>
      </c>
      <c r="G57" s="37">
        <f t="shared" si="1"/>
        <v>405.84000000000003</v>
      </c>
      <c r="H57" s="37">
        <f t="shared" si="2"/>
        <v>2541.84</v>
      </c>
      <c r="I57" s="51" t="s">
        <v>118</v>
      </c>
    </row>
    <row r="58" spans="1:9" ht="15" customHeight="1" x14ac:dyDescent="0.25">
      <c r="A58" s="35">
        <v>51</v>
      </c>
      <c r="B58" s="8">
        <v>45077</v>
      </c>
      <c r="C58" s="49" t="s">
        <v>120</v>
      </c>
      <c r="D58" s="52" t="s">
        <v>66</v>
      </c>
      <c r="E58" s="52" t="s">
        <v>65</v>
      </c>
      <c r="F58" s="37">
        <v>2500</v>
      </c>
      <c r="G58" s="37">
        <f t="shared" si="1"/>
        <v>475</v>
      </c>
      <c r="H58" s="37">
        <f t="shared" si="2"/>
        <v>2975</v>
      </c>
      <c r="I58" s="16" t="s">
        <v>36</v>
      </c>
    </row>
    <row r="59" spans="1:9" ht="15" customHeight="1" x14ac:dyDescent="0.25">
      <c r="A59" s="35">
        <v>52</v>
      </c>
      <c r="B59" s="8">
        <v>45077</v>
      </c>
      <c r="C59" s="49" t="s">
        <v>121</v>
      </c>
      <c r="D59" s="52" t="s">
        <v>122</v>
      </c>
      <c r="E59" s="52" t="s">
        <v>64</v>
      </c>
      <c r="F59" s="37">
        <v>3000</v>
      </c>
      <c r="G59" s="37">
        <f t="shared" si="1"/>
        <v>570</v>
      </c>
      <c r="H59" s="37">
        <f t="shared" si="2"/>
        <v>3570</v>
      </c>
      <c r="I59" s="14" t="s">
        <v>34</v>
      </c>
    </row>
    <row r="60" spans="1:9" ht="15" customHeight="1" x14ac:dyDescent="0.25">
      <c r="A60" s="35">
        <v>53</v>
      </c>
      <c r="B60" s="8">
        <v>45077</v>
      </c>
      <c r="C60" s="49" t="s">
        <v>121</v>
      </c>
      <c r="D60" s="52" t="s">
        <v>60</v>
      </c>
      <c r="E60" s="52" t="s">
        <v>59</v>
      </c>
      <c r="F60" s="37">
        <v>1000</v>
      </c>
      <c r="G60" s="37">
        <f t="shared" si="1"/>
        <v>190</v>
      </c>
      <c r="H60" s="37">
        <f t="shared" si="2"/>
        <v>1190</v>
      </c>
      <c r="I60" s="16" t="s">
        <v>36</v>
      </c>
    </row>
    <row r="61" spans="1:9" ht="15" customHeight="1" x14ac:dyDescent="0.25">
      <c r="A61" s="35">
        <v>54</v>
      </c>
      <c r="B61" s="8">
        <v>45077</v>
      </c>
      <c r="C61" s="49" t="s">
        <v>121</v>
      </c>
      <c r="D61" s="52" t="s">
        <v>60</v>
      </c>
      <c r="E61" s="52" t="s">
        <v>61</v>
      </c>
      <c r="F61" s="37">
        <v>900</v>
      </c>
      <c r="G61" s="37">
        <f t="shared" si="1"/>
        <v>171</v>
      </c>
      <c r="H61" s="37">
        <f t="shared" si="2"/>
        <v>1071</v>
      </c>
      <c r="I61" s="16" t="s">
        <v>36</v>
      </c>
    </row>
    <row r="62" spans="1:9" ht="15" customHeight="1" x14ac:dyDescent="0.25">
      <c r="A62" s="35">
        <v>55</v>
      </c>
      <c r="B62" s="8">
        <v>45077</v>
      </c>
      <c r="C62" s="49" t="s">
        <v>120</v>
      </c>
      <c r="D62" s="52" t="s">
        <v>62</v>
      </c>
      <c r="E62" s="52" t="s">
        <v>63</v>
      </c>
      <c r="F62" s="37">
        <v>1297</v>
      </c>
      <c r="G62" s="37">
        <f t="shared" si="1"/>
        <v>246.43</v>
      </c>
      <c r="H62" s="37">
        <f t="shared" si="2"/>
        <v>1543.43</v>
      </c>
      <c r="I62" s="14" t="s">
        <v>34</v>
      </c>
    </row>
    <row r="63" spans="1:9" ht="15" customHeight="1" x14ac:dyDescent="0.25">
      <c r="A63" s="35">
        <v>56</v>
      </c>
      <c r="B63" s="49">
        <v>45082</v>
      </c>
      <c r="C63" s="49" t="s">
        <v>120</v>
      </c>
      <c r="D63" s="50" t="s">
        <v>72</v>
      </c>
      <c r="E63" s="50" t="s">
        <v>71</v>
      </c>
      <c r="F63" s="37">
        <v>900</v>
      </c>
      <c r="G63" s="37">
        <f t="shared" si="1"/>
        <v>171</v>
      </c>
      <c r="H63" s="37">
        <f t="shared" si="2"/>
        <v>1071</v>
      </c>
      <c r="I63" s="51" t="s">
        <v>118</v>
      </c>
    </row>
    <row r="64" spans="1:9" ht="15" customHeight="1" x14ac:dyDescent="0.25">
      <c r="A64" s="35">
        <v>57</v>
      </c>
      <c r="B64" s="49">
        <v>45082</v>
      </c>
      <c r="C64" s="49" t="s">
        <v>121</v>
      </c>
      <c r="D64" s="50" t="s">
        <v>74</v>
      </c>
      <c r="E64" s="50" t="s">
        <v>73</v>
      </c>
      <c r="F64" s="37">
        <v>2500</v>
      </c>
      <c r="G64" s="37">
        <f t="shared" si="1"/>
        <v>475</v>
      </c>
      <c r="H64" s="37">
        <f t="shared" si="2"/>
        <v>2975</v>
      </c>
      <c r="I64" s="16" t="s">
        <v>36</v>
      </c>
    </row>
    <row r="65" spans="1:9" ht="15" customHeight="1" x14ac:dyDescent="0.25">
      <c r="A65" s="35">
        <v>58</v>
      </c>
      <c r="B65" s="49">
        <v>45083</v>
      </c>
      <c r="C65" s="49" t="s">
        <v>121</v>
      </c>
      <c r="D65" s="50" t="s">
        <v>79</v>
      </c>
      <c r="E65" s="50" t="s">
        <v>78</v>
      </c>
      <c r="F65" s="37">
        <v>1872</v>
      </c>
      <c r="G65" s="37">
        <f t="shared" si="1"/>
        <v>355.68</v>
      </c>
      <c r="H65" s="37">
        <f t="shared" si="2"/>
        <v>2227.6799999999998</v>
      </c>
      <c r="I65" s="16" t="s">
        <v>36</v>
      </c>
    </row>
    <row r="66" spans="1:9" ht="15" customHeight="1" x14ac:dyDescent="0.25">
      <c r="A66" s="35">
        <v>59</v>
      </c>
      <c r="B66" s="49">
        <v>45100</v>
      </c>
      <c r="C66" s="49" t="s">
        <v>27</v>
      </c>
      <c r="D66" s="50" t="s">
        <v>80</v>
      </c>
      <c r="E66" s="50" t="s">
        <v>81</v>
      </c>
      <c r="F66" s="37">
        <v>2800</v>
      </c>
      <c r="G66" s="37">
        <f t="shared" si="1"/>
        <v>532</v>
      </c>
      <c r="H66" s="37">
        <f t="shared" si="2"/>
        <v>3332</v>
      </c>
      <c r="I66" s="14" t="s">
        <v>34</v>
      </c>
    </row>
    <row r="67" spans="1:9" ht="15" customHeight="1" x14ac:dyDescent="0.25">
      <c r="A67" s="35">
        <v>60</v>
      </c>
      <c r="B67" s="49">
        <v>45100</v>
      </c>
      <c r="C67" s="49" t="s">
        <v>121</v>
      </c>
      <c r="D67" s="52" t="s">
        <v>70</v>
      </c>
      <c r="E67" s="52" t="s">
        <v>69</v>
      </c>
      <c r="F67" s="37">
        <v>1000</v>
      </c>
      <c r="G67" s="37">
        <f t="shared" si="1"/>
        <v>190</v>
      </c>
      <c r="H67" s="37">
        <f t="shared" si="2"/>
        <v>1190</v>
      </c>
      <c r="I67" s="14" t="s">
        <v>34</v>
      </c>
    </row>
    <row r="68" spans="1:9" ht="15" customHeight="1" x14ac:dyDescent="0.25">
      <c r="A68" s="35">
        <v>61</v>
      </c>
      <c r="B68" s="8">
        <v>45107</v>
      </c>
      <c r="C68" s="49" t="s">
        <v>120</v>
      </c>
      <c r="D68" s="52" t="s">
        <v>66</v>
      </c>
      <c r="E68" s="52" t="s">
        <v>65</v>
      </c>
      <c r="F68" s="37">
        <v>2500</v>
      </c>
      <c r="G68" s="37">
        <f t="shared" si="1"/>
        <v>475</v>
      </c>
      <c r="H68" s="37">
        <f t="shared" si="2"/>
        <v>2975</v>
      </c>
      <c r="I68" s="14" t="s">
        <v>34</v>
      </c>
    </row>
    <row r="69" spans="1:9" ht="15" customHeight="1" x14ac:dyDescent="0.25">
      <c r="A69" s="35">
        <v>62</v>
      </c>
      <c r="B69" s="49">
        <v>45107</v>
      </c>
      <c r="C69" s="49" t="s">
        <v>120</v>
      </c>
      <c r="D69" s="52" t="s">
        <v>68</v>
      </c>
      <c r="E69" s="52" t="s">
        <v>67</v>
      </c>
      <c r="F69" s="37">
        <v>60000</v>
      </c>
      <c r="G69" s="37">
        <f t="shared" si="1"/>
        <v>11400</v>
      </c>
      <c r="H69" s="37">
        <f t="shared" si="2"/>
        <v>71400</v>
      </c>
      <c r="I69" s="14" t="s">
        <v>34</v>
      </c>
    </row>
    <row r="70" spans="1:9" ht="15" customHeight="1" x14ac:dyDescent="0.25">
      <c r="A70" s="35">
        <v>63</v>
      </c>
      <c r="B70" s="49">
        <v>45107</v>
      </c>
      <c r="C70" s="49" t="s">
        <v>27</v>
      </c>
      <c r="D70" s="52" t="s">
        <v>68</v>
      </c>
      <c r="E70" s="52" t="s">
        <v>123</v>
      </c>
      <c r="F70" s="37">
        <v>58000</v>
      </c>
      <c r="G70" s="37">
        <f t="shared" si="1"/>
        <v>11020</v>
      </c>
      <c r="H70" s="37">
        <f t="shared" si="2"/>
        <v>69020</v>
      </c>
      <c r="I70" s="14" t="s">
        <v>34</v>
      </c>
    </row>
    <row r="71" spans="1:9" ht="15" customHeight="1" x14ac:dyDescent="0.25">
      <c r="A71" s="35">
        <v>64</v>
      </c>
      <c r="B71" s="8">
        <v>45107</v>
      </c>
      <c r="C71" s="49" t="s">
        <v>120</v>
      </c>
      <c r="D71" s="52" t="s">
        <v>122</v>
      </c>
      <c r="E71" s="52" t="s">
        <v>64</v>
      </c>
      <c r="F71" s="37">
        <v>3000</v>
      </c>
      <c r="G71" s="37">
        <f t="shared" si="1"/>
        <v>570</v>
      </c>
      <c r="H71" s="37">
        <f t="shared" si="2"/>
        <v>3570</v>
      </c>
      <c r="I71" s="14" t="s">
        <v>34</v>
      </c>
    </row>
    <row r="72" spans="1:9" ht="15" customHeight="1" x14ac:dyDescent="0.25">
      <c r="A72" s="35">
        <v>65</v>
      </c>
      <c r="B72" s="49">
        <v>45107</v>
      </c>
      <c r="C72" s="49" t="s">
        <v>27</v>
      </c>
      <c r="D72" s="50" t="s">
        <v>76</v>
      </c>
      <c r="E72" s="50" t="s">
        <v>77</v>
      </c>
      <c r="F72" s="37">
        <v>12900</v>
      </c>
      <c r="G72" s="37">
        <f t="shared" si="1"/>
        <v>2451</v>
      </c>
      <c r="H72" s="37">
        <f t="shared" si="2"/>
        <v>15351</v>
      </c>
      <c r="I72" s="14" t="s">
        <v>34</v>
      </c>
    </row>
    <row r="73" spans="1:9" ht="15" customHeight="1" x14ac:dyDescent="0.25">
      <c r="A73" s="35">
        <v>66</v>
      </c>
      <c r="B73" s="8">
        <v>45107</v>
      </c>
      <c r="C73" s="49" t="s">
        <v>120</v>
      </c>
      <c r="D73" s="52" t="s">
        <v>60</v>
      </c>
      <c r="E73" s="52" t="s">
        <v>59</v>
      </c>
      <c r="F73" s="37">
        <v>1000</v>
      </c>
      <c r="G73" s="37">
        <f t="shared" ref="G73:G136" si="3">+F73*19%</f>
        <v>190</v>
      </c>
      <c r="H73" s="37">
        <f t="shared" ref="H73:H136" si="4">+F73+G73</f>
        <v>1190</v>
      </c>
      <c r="I73" s="14" t="s">
        <v>34</v>
      </c>
    </row>
    <row r="74" spans="1:9" ht="15" customHeight="1" x14ac:dyDescent="0.25">
      <c r="A74" s="35">
        <v>67</v>
      </c>
      <c r="B74" s="8">
        <v>45107</v>
      </c>
      <c r="C74" s="49" t="s">
        <v>120</v>
      </c>
      <c r="D74" s="52" t="s">
        <v>60</v>
      </c>
      <c r="E74" s="52" t="s">
        <v>61</v>
      </c>
      <c r="F74" s="37">
        <v>900</v>
      </c>
      <c r="G74" s="37">
        <f t="shared" si="3"/>
        <v>171</v>
      </c>
      <c r="H74" s="37">
        <f t="shared" si="4"/>
        <v>1071</v>
      </c>
      <c r="I74" s="14" t="s">
        <v>34</v>
      </c>
    </row>
    <row r="75" spans="1:9" ht="15" customHeight="1" x14ac:dyDescent="0.25">
      <c r="A75" s="35">
        <v>68</v>
      </c>
      <c r="B75" s="8">
        <v>45107</v>
      </c>
      <c r="C75" s="49" t="s">
        <v>27</v>
      </c>
      <c r="D75" s="52" t="s">
        <v>62</v>
      </c>
      <c r="E75" s="52" t="s">
        <v>63</v>
      </c>
      <c r="F75" s="37">
        <v>1253</v>
      </c>
      <c r="G75" s="37">
        <f t="shared" si="3"/>
        <v>238.07</v>
      </c>
      <c r="H75" s="37">
        <f t="shared" si="4"/>
        <v>1491.07</v>
      </c>
      <c r="I75" s="14" t="s">
        <v>34</v>
      </c>
    </row>
    <row r="76" spans="1:9" ht="15" customHeight="1" x14ac:dyDescent="0.25">
      <c r="A76" s="35">
        <v>69</v>
      </c>
      <c r="B76" s="49">
        <v>45112</v>
      </c>
      <c r="C76" s="49" t="s">
        <v>120</v>
      </c>
      <c r="D76" s="50" t="s">
        <v>72</v>
      </c>
      <c r="E76" s="50" t="s">
        <v>71</v>
      </c>
      <c r="F76" s="37">
        <v>900</v>
      </c>
      <c r="G76" s="37">
        <f t="shared" si="3"/>
        <v>171</v>
      </c>
      <c r="H76" s="37">
        <f t="shared" si="4"/>
        <v>1071</v>
      </c>
      <c r="I76" s="16" t="s">
        <v>36</v>
      </c>
    </row>
    <row r="77" spans="1:9" ht="15" customHeight="1" x14ac:dyDescent="0.25">
      <c r="A77" s="35">
        <v>70</v>
      </c>
      <c r="B77" s="8">
        <v>45115</v>
      </c>
      <c r="C77" s="49" t="s">
        <v>120</v>
      </c>
      <c r="D77" s="52" t="s">
        <v>70</v>
      </c>
      <c r="E77" s="52" t="s">
        <v>69</v>
      </c>
      <c r="F77" s="37">
        <v>1250</v>
      </c>
      <c r="G77" s="37">
        <f t="shared" si="3"/>
        <v>237.5</v>
      </c>
      <c r="H77" s="37">
        <f t="shared" si="4"/>
        <v>1487.5</v>
      </c>
      <c r="I77" s="51" t="s">
        <v>118</v>
      </c>
    </row>
    <row r="78" spans="1:9" ht="15" customHeight="1" x14ac:dyDescent="0.25">
      <c r="A78" s="35">
        <v>71</v>
      </c>
      <c r="B78" s="49">
        <v>45116</v>
      </c>
      <c r="C78" s="49" t="s">
        <v>120</v>
      </c>
      <c r="D78" s="50" t="s">
        <v>79</v>
      </c>
      <c r="E78" s="50" t="s">
        <v>78</v>
      </c>
      <c r="F78" s="37">
        <v>1382</v>
      </c>
      <c r="G78" s="37">
        <f t="shared" si="3"/>
        <v>262.58</v>
      </c>
      <c r="H78" s="37">
        <f t="shared" si="4"/>
        <v>1644.58</v>
      </c>
      <c r="I78" s="16" t="s">
        <v>36</v>
      </c>
    </row>
    <row r="79" spans="1:9" ht="15" customHeight="1" x14ac:dyDescent="0.25">
      <c r="A79" s="35">
        <v>72</v>
      </c>
      <c r="B79" s="49">
        <v>45120</v>
      </c>
      <c r="C79" s="49" t="s">
        <v>120</v>
      </c>
      <c r="D79" s="50" t="s">
        <v>74</v>
      </c>
      <c r="E79" s="50" t="s">
        <v>73</v>
      </c>
      <c r="F79" s="37">
        <v>3000</v>
      </c>
      <c r="G79" s="37">
        <f t="shared" si="3"/>
        <v>570</v>
      </c>
      <c r="H79" s="37">
        <f t="shared" si="4"/>
        <v>3570</v>
      </c>
      <c r="I79" s="16" t="s">
        <v>36</v>
      </c>
    </row>
    <row r="80" spans="1:9" ht="15" customHeight="1" x14ac:dyDescent="0.25">
      <c r="A80" s="35">
        <v>73</v>
      </c>
      <c r="B80" s="49">
        <v>45136</v>
      </c>
      <c r="C80" s="49" t="s">
        <v>27</v>
      </c>
      <c r="D80" s="50" t="s">
        <v>79</v>
      </c>
      <c r="E80" s="50" t="s">
        <v>78</v>
      </c>
      <c r="F80" s="37">
        <v>1663</v>
      </c>
      <c r="G80" s="37">
        <f t="shared" si="3"/>
        <v>315.97000000000003</v>
      </c>
      <c r="H80" s="37">
        <f t="shared" si="4"/>
        <v>1978.97</v>
      </c>
      <c r="I80" s="16" t="s">
        <v>36</v>
      </c>
    </row>
    <row r="81" spans="1:9" ht="15" customHeight="1" x14ac:dyDescent="0.25">
      <c r="A81" s="35">
        <v>74</v>
      </c>
      <c r="B81" s="8">
        <v>45138</v>
      </c>
      <c r="C81" s="49" t="s">
        <v>120</v>
      </c>
      <c r="D81" s="52" t="s">
        <v>66</v>
      </c>
      <c r="E81" s="52" t="s">
        <v>65</v>
      </c>
      <c r="F81" s="37">
        <v>2500</v>
      </c>
      <c r="G81" s="37">
        <f t="shared" si="3"/>
        <v>475</v>
      </c>
      <c r="H81" s="37">
        <f t="shared" si="4"/>
        <v>2975</v>
      </c>
      <c r="I81" s="16" t="s">
        <v>36</v>
      </c>
    </row>
    <row r="82" spans="1:9" ht="15" customHeight="1" x14ac:dyDescent="0.25">
      <c r="A82" s="35">
        <v>75</v>
      </c>
      <c r="B82" s="8">
        <v>45138</v>
      </c>
      <c r="C82" s="49" t="s">
        <v>27</v>
      </c>
      <c r="D82" s="52" t="s">
        <v>122</v>
      </c>
      <c r="E82" s="52" t="s">
        <v>64</v>
      </c>
      <c r="F82" s="37">
        <v>3000</v>
      </c>
      <c r="G82" s="37">
        <f t="shared" si="3"/>
        <v>570</v>
      </c>
      <c r="H82" s="37">
        <f t="shared" si="4"/>
        <v>3570</v>
      </c>
      <c r="I82" s="51" t="s">
        <v>118</v>
      </c>
    </row>
    <row r="83" spans="1:9" ht="15" customHeight="1" x14ac:dyDescent="0.25">
      <c r="A83" s="35">
        <v>76</v>
      </c>
      <c r="B83" s="8">
        <v>45138</v>
      </c>
      <c r="C83" s="49" t="s">
        <v>27</v>
      </c>
      <c r="D83" s="52" t="s">
        <v>60</v>
      </c>
      <c r="E83" s="52" t="s">
        <v>59</v>
      </c>
      <c r="F83" s="37">
        <v>1000</v>
      </c>
      <c r="G83" s="37">
        <f t="shared" si="3"/>
        <v>190</v>
      </c>
      <c r="H83" s="37">
        <f t="shared" si="4"/>
        <v>1190</v>
      </c>
      <c r="I83" s="14" t="s">
        <v>34</v>
      </c>
    </row>
    <row r="84" spans="1:9" ht="15" customHeight="1" x14ac:dyDescent="0.25">
      <c r="A84" s="35">
        <v>77</v>
      </c>
      <c r="B84" s="8">
        <v>45138</v>
      </c>
      <c r="C84" s="49" t="s">
        <v>27</v>
      </c>
      <c r="D84" s="52" t="s">
        <v>60</v>
      </c>
      <c r="E84" s="52" t="s">
        <v>61</v>
      </c>
      <c r="F84" s="37">
        <v>900</v>
      </c>
      <c r="G84" s="37">
        <f t="shared" si="3"/>
        <v>171</v>
      </c>
      <c r="H84" s="37">
        <f t="shared" si="4"/>
        <v>1071</v>
      </c>
      <c r="I84" s="14" t="s">
        <v>34</v>
      </c>
    </row>
    <row r="85" spans="1:9" ht="15" customHeight="1" x14ac:dyDescent="0.25">
      <c r="A85" s="35">
        <v>78</v>
      </c>
      <c r="B85" s="8">
        <v>45138</v>
      </c>
      <c r="C85" s="49" t="s">
        <v>121</v>
      </c>
      <c r="D85" s="52" t="s">
        <v>62</v>
      </c>
      <c r="E85" s="52" t="s">
        <v>63</v>
      </c>
      <c r="F85" s="37">
        <v>1786</v>
      </c>
      <c r="G85" s="37">
        <f t="shared" si="3"/>
        <v>339.34000000000003</v>
      </c>
      <c r="H85" s="37">
        <f t="shared" si="4"/>
        <v>2125.34</v>
      </c>
      <c r="I85" s="14" t="s">
        <v>34</v>
      </c>
    </row>
    <row r="86" spans="1:9" ht="15" customHeight="1" x14ac:dyDescent="0.25">
      <c r="A86" s="35">
        <v>79</v>
      </c>
      <c r="B86" s="8">
        <v>45141</v>
      </c>
      <c r="C86" s="49" t="s">
        <v>27</v>
      </c>
      <c r="D86" s="52" t="s">
        <v>70</v>
      </c>
      <c r="E86" s="52" t="s">
        <v>69</v>
      </c>
      <c r="F86" s="37">
        <v>1300</v>
      </c>
      <c r="G86" s="37">
        <f t="shared" si="3"/>
        <v>247</v>
      </c>
      <c r="H86" s="37">
        <f t="shared" si="4"/>
        <v>1547</v>
      </c>
      <c r="I86" s="51" t="s">
        <v>118</v>
      </c>
    </row>
    <row r="87" spans="1:9" ht="15" customHeight="1" x14ac:dyDescent="0.25">
      <c r="A87" s="35">
        <v>80</v>
      </c>
      <c r="B87" s="49">
        <v>45143</v>
      </c>
      <c r="C87" s="49" t="s">
        <v>120</v>
      </c>
      <c r="D87" s="50" t="s">
        <v>72</v>
      </c>
      <c r="E87" s="50" t="s">
        <v>71</v>
      </c>
      <c r="F87" s="37">
        <v>900</v>
      </c>
      <c r="G87" s="37">
        <f t="shared" si="3"/>
        <v>171</v>
      </c>
      <c r="H87" s="37">
        <f t="shared" si="4"/>
        <v>1071</v>
      </c>
      <c r="I87" s="16" t="s">
        <v>36</v>
      </c>
    </row>
    <row r="88" spans="1:9" ht="15" customHeight="1" x14ac:dyDescent="0.25">
      <c r="A88" s="35">
        <v>81</v>
      </c>
      <c r="B88" s="49">
        <v>45143</v>
      </c>
      <c r="C88" s="49" t="s">
        <v>121</v>
      </c>
      <c r="D88" s="50" t="s">
        <v>76</v>
      </c>
      <c r="E88" s="50" t="s">
        <v>77</v>
      </c>
      <c r="F88" s="37">
        <v>13000</v>
      </c>
      <c r="G88" s="37">
        <f t="shared" si="3"/>
        <v>2470</v>
      </c>
      <c r="H88" s="37">
        <f t="shared" si="4"/>
        <v>15470</v>
      </c>
      <c r="I88" s="15" t="s">
        <v>37</v>
      </c>
    </row>
    <row r="89" spans="1:9" ht="15" customHeight="1" x14ac:dyDescent="0.25">
      <c r="A89" s="35">
        <v>82</v>
      </c>
      <c r="B89" s="49">
        <v>45148</v>
      </c>
      <c r="C89" s="49" t="s">
        <v>121</v>
      </c>
      <c r="D89" s="52" t="s">
        <v>70</v>
      </c>
      <c r="E89" s="52" t="s">
        <v>69</v>
      </c>
      <c r="F89" s="37">
        <v>1250</v>
      </c>
      <c r="G89" s="37">
        <f t="shared" si="3"/>
        <v>237.5</v>
      </c>
      <c r="H89" s="37">
        <f t="shared" si="4"/>
        <v>1487.5</v>
      </c>
      <c r="I89" s="51" t="s">
        <v>118</v>
      </c>
    </row>
    <row r="90" spans="1:9" ht="15" customHeight="1" x14ac:dyDescent="0.25">
      <c r="A90" s="35">
        <v>83</v>
      </c>
      <c r="B90" s="49">
        <v>45152</v>
      </c>
      <c r="C90" s="49" t="s">
        <v>121</v>
      </c>
      <c r="D90" s="50" t="s">
        <v>79</v>
      </c>
      <c r="E90" s="50" t="s">
        <v>78</v>
      </c>
      <c r="F90" s="37">
        <v>1551</v>
      </c>
      <c r="G90" s="37">
        <f t="shared" si="3"/>
        <v>294.69</v>
      </c>
      <c r="H90" s="37">
        <f t="shared" si="4"/>
        <v>1845.69</v>
      </c>
      <c r="I90" s="16" t="s">
        <v>36</v>
      </c>
    </row>
    <row r="91" spans="1:9" ht="15" customHeight="1" x14ac:dyDescent="0.25">
      <c r="A91" s="35">
        <v>84</v>
      </c>
      <c r="B91" s="49">
        <v>45155</v>
      </c>
      <c r="C91" s="49" t="s">
        <v>121</v>
      </c>
      <c r="D91" s="50" t="s">
        <v>80</v>
      </c>
      <c r="E91" s="50" t="s">
        <v>81</v>
      </c>
      <c r="F91" s="37">
        <v>1100</v>
      </c>
      <c r="G91" s="37">
        <f t="shared" si="3"/>
        <v>209</v>
      </c>
      <c r="H91" s="37">
        <f t="shared" si="4"/>
        <v>1309</v>
      </c>
      <c r="I91" s="51" t="s">
        <v>118</v>
      </c>
    </row>
    <row r="92" spans="1:9" ht="15" customHeight="1" x14ac:dyDescent="0.25">
      <c r="A92" s="35">
        <v>85</v>
      </c>
      <c r="B92" s="49">
        <v>45164</v>
      </c>
      <c r="C92" s="49" t="s">
        <v>120</v>
      </c>
      <c r="D92" s="50" t="s">
        <v>79</v>
      </c>
      <c r="E92" s="50" t="s">
        <v>78</v>
      </c>
      <c r="F92" s="37">
        <v>1572</v>
      </c>
      <c r="G92" s="37">
        <f t="shared" si="3"/>
        <v>298.68</v>
      </c>
      <c r="H92" s="37">
        <f t="shared" si="4"/>
        <v>1870.68</v>
      </c>
      <c r="I92" s="14" t="s">
        <v>34</v>
      </c>
    </row>
    <row r="93" spans="1:9" ht="15" customHeight="1" x14ac:dyDescent="0.25">
      <c r="A93" s="35">
        <v>86</v>
      </c>
      <c r="B93" s="8">
        <v>45169</v>
      </c>
      <c r="C93" s="49" t="s">
        <v>120</v>
      </c>
      <c r="D93" s="52" t="s">
        <v>66</v>
      </c>
      <c r="E93" s="52" t="s">
        <v>65</v>
      </c>
      <c r="F93" s="37">
        <v>2500</v>
      </c>
      <c r="G93" s="37">
        <f t="shared" si="3"/>
        <v>475</v>
      </c>
      <c r="H93" s="37">
        <f t="shared" si="4"/>
        <v>2975</v>
      </c>
      <c r="I93" s="16" t="s">
        <v>36</v>
      </c>
    </row>
    <row r="94" spans="1:9" ht="15" customHeight="1" x14ac:dyDescent="0.25">
      <c r="A94" s="35">
        <v>87</v>
      </c>
      <c r="B94" s="8">
        <v>45169</v>
      </c>
      <c r="C94" s="49" t="s">
        <v>121</v>
      </c>
      <c r="D94" s="52" t="s">
        <v>122</v>
      </c>
      <c r="E94" s="52" t="s">
        <v>64</v>
      </c>
      <c r="F94" s="37">
        <v>3000</v>
      </c>
      <c r="G94" s="37">
        <f t="shared" si="3"/>
        <v>570</v>
      </c>
      <c r="H94" s="37">
        <f t="shared" si="4"/>
        <v>3570</v>
      </c>
      <c r="I94" s="51" t="s">
        <v>118</v>
      </c>
    </row>
    <row r="95" spans="1:9" ht="15" customHeight="1" x14ac:dyDescent="0.25">
      <c r="A95" s="35">
        <v>88</v>
      </c>
      <c r="B95" s="8">
        <v>45169</v>
      </c>
      <c r="C95" s="49" t="s">
        <v>121</v>
      </c>
      <c r="D95" s="52" t="s">
        <v>60</v>
      </c>
      <c r="E95" s="52" t="s">
        <v>59</v>
      </c>
      <c r="F95" s="37">
        <v>1000</v>
      </c>
      <c r="G95" s="37">
        <f t="shared" si="3"/>
        <v>190</v>
      </c>
      <c r="H95" s="37">
        <f t="shared" si="4"/>
        <v>1190</v>
      </c>
      <c r="I95" s="51" t="s">
        <v>118</v>
      </c>
    </row>
    <row r="96" spans="1:9" ht="15" customHeight="1" x14ac:dyDescent="0.25">
      <c r="A96" s="35">
        <v>89</v>
      </c>
      <c r="B96" s="8">
        <v>45169</v>
      </c>
      <c r="C96" s="49" t="s">
        <v>121</v>
      </c>
      <c r="D96" s="52" t="s">
        <v>60</v>
      </c>
      <c r="E96" s="52" t="s">
        <v>61</v>
      </c>
      <c r="F96" s="37">
        <v>900</v>
      </c>
      <c r="G96" s="37">
        <f t="shared" si="3"/>
        <v>171</v>
      </c>
      <c r="H96" s="37">
        <f t="shared" si="4"/>
        <v>1071</v>
      </c>
      <c r="I96" s="51" t="s">
        <v>118</v>
      </c>
    </row>
    <row r="97" spans="1:9" ht="15" customHeight="1" x14ac:dyDescent="0.25">
      <c r="A97" s="35">
        <v>90</v>
      </c>
      <c r="B97" s="8">
        <v>45169</v>
      </c>
      <c r="C97" s="49" t="s">
        <v>120</v>
      </c>
      <c r="D97" s="52" t="s">
        <v>62</v>
      </c>
      <c r="E97" s="52" t="s">
        <v>63</v>
      </c>
      <c r="F97" s="37">
        <v>1982</v>
      </c>
      <c r="G97" s="37">
        <f t="shared" si="3"/>
        <v>376.58</v>
      </c>
      <c r="H97" s="37">
        <f t="shared" si="4"/>
        <v>2358.58</v>
      </c>
      <c r="I97" s="51" t="s">
        <v>118</v>
      </c>
    </row>
    <row r="98" spans="1:9" ht="15" customHeight="1" x14ac:dyDescent="0.25">
      <c r="A98" s="35">
        <v>91</v>
      </c>
      <c r="B98" s="49">
        <v>45174</v>
      </c>
      <c r="C98" s="49" t="s">
        <v>121</v>
      </c>
      <c r="D98" s="50" t="s">
        <v>72</v>
      </c>
      <c r="E98" s="50" t="s">
        <v>71</v>
      </c>
      <c r="F98" s="37">
        <v>900</v>
      </c>
      <c r="G98" s="37">
        <f t="shared" si="3"/>
        <v>171</v>
      </c>
      <c r="H98" s="37">
        <f t="shared" si="4"/>
        <v>1071</v>
      </c>
      <c r="I98" s="16" t="s">
        <v>36</v>
      </c>
    </row>
    <row r="99" spans="1:9" ht="15" customHeight="1" x14ac:dyDescent="0.25">
      <c r="A99" s="35">
        <v>92</v>
      </c>
      <c r="B99" s="49">
        <v>45174</v>
      </c>
      <c r="C99" s="49" t="s">
        <v>120</v>
      </c>
      <c r="D99" s="52" t="s">
        <v>70</v>
      </c>
      <c r="E99" s="52" t="s">
        <v>69</v>
      </c>
      <c r="F99" s="37">
        <v>1250</v>
      </c>
      <c r="G99" s="37">
        <f t="shared" si="3"/>
        <v>237.5</v>
      </c>
      <c r="H99" s="37">
        <f t="shared" si="4"/>
        <v>1487.5</v>
      </c>
      <c r="I99" s="51" t="s">
        <v>118</v>
      </c>
    </row>
    <row r="100" spans="1:9" ht="15" customHeight="1" x14ac:dyDescent="0.25">
      <c r="A100" s="35">
        <v>93</v>
      </c>
      <c r="B100" s="49">
        <v>45179</v>
      </c>
      <c r="C100" s="49" t="s">
        <v>120</v>
      </c>
      <c r="D100" s="50" t="s">
        <v>76</v>
      </c>
      <c r="E100" s="50" t="s">
        <v>77</v>
      </c>
      <c r="F100" s="37">
        <v>10000</v>
      </c>
      <c r="G100" s="37">
        <f t="shared" si="3"/>
        <v>1900</v>
      </c>
      <c r="H100" s="37">
        <f t="shared" si="4"/>
        <v>11900</v>
      </c>
      <c r="I100" s="16" t="s">
        <v>36</v>
      </c>
    </row>
    <row r="101" spans="1:9" ht="15" customHeight="1" x14ac:dyDescent="0.25">
      <c r="A101" s="35">
        <v>94</v>
      </c>
      <c r="B101" s="49">
        <v>45180</v>
      </c>
      <c r="C101" s="49" t="s">
        <v>27</v>
      </c>
      <c r="D101" s="50" t="s">
        <v>79</v>
      </c>
      <c r="E101" s="50" t="s">
        <v>78</v>
      </c>
      <c r="F101" s="37">
        <v>1812</v>
      </c>
      <c r="G101" s="37">
        <f t="shared" si="3"/>
        <v>344.28000000000003</v>
      </c>
      <c r="H101" s="37">
        <f t="shared" si="4"/>
        <v>2156.2800000000002</v>
      </c>
      <c r="I101" s="14" t="s">
        <v>34</v>
      </c>
    </row>
    <row r="102" spans="1:9" ht="15" customHeight="1" x14ac:dyDescent="0.25">
      <c r="A102" s="35">
        <v>95</v>
      </c>
      <c r="B102" s="49">
        <v>45181</v>
      </c>
      <c r="C102" s="49" t="s">
        <v>27</v>
      </c>
      <c r="D102" s="52" t="s">
        <v>70</v>
      </c>
      <c r="E102" s="52" t="s">
        <v>69</v>
      </c>
      <c r="F102" s="37">
        <v>900</v>
      </c>
      <c r="G102" s="37">
        <f t="shared" si="3"/>
        <v>171</v>
      </c>
      <c r="H102" s="37">
        <f t="shared" si="4"/>
        <v>1071</v>
      </c>
      <c r="I102" s="51" t="s">
        <v>118</v>
      </c>
    </row>
    <row r="103" spans="1:9" ht="15" customHeight="1" x14ac:dyDescent="0.25">
      <c r="A103" s="35">
        <v>96</v>
      </c>
      <c r="B103" s="49">
        <v>45197</v>
      </c>
      <c r="C103" s="49" t="s">
        <v>121</v>
      </c>
      <c r="D103" s="50" t="s">
        <v>79</v>
      </c>
      <c r="E103" s="50" t="s">
        <v>78</v>
      </c>
      <c r="F103" s="37">
        <v>2089</v>
      </c>
      <c r="G103" s="37">
        <f t="shared" si="3"/>
        <v>396.91</v>
      </c>
      <c r="H103" s="37">
        <f t="shared" si="4"/>
        <v>2485.91</v>
      </c>
      <c r="I103" s="14" t="s">
        <v>34</v>
      </c>
    </row>
    <row r="104" spans="1:9" ht="15" customHeight="1" x14ac:dyDescent="0.25">
      <c r="A104" s="35">
        <v>97</v>
      </c>
      <c r="B104" s="8">
        <v>45199</v>
      </c>
      <c r="C104" s="49" t="s">
        <v>121</v>
      </c>
      <c r="D104" s="52" t="s">
        <v>66</v>
      </c>
      <c r="E104" s="52" t="s">
        <v>65</v>
      </c>
      <c r="F104" s="37">
        <v>2500</v>
      </c>
      <c r="G104" s="37">
        <f t="shared" si="3"/>
        <v>475</v>
      </c>
      <c r="H104" s="37">
        <f t="shared" si="4"/>
        <v>2975</v>
      </c>
      <c r="I104" s="16" t="s">
        <v>36</v>
      </c>
    </row>
    <row r="105" spans="1:9" ht="15" customHeight="1" x14ac:dyDescent="0.25">
      <c r="A105" s="35">
        <v>98</v>
      </c>
      <c r="B105" s="49">
        <v>45199</v>
      </c>
      <c r="C105" s="49" t="s">
        <v>120</v>
      </c>
      <c r="D105" s="52" t="s">
        <v>68</v>
      </c>
      <c r="E105" s="52" t="s">
        <v>67</v>
      </c>
      <c r="F105" s="37">
        <v>60000</v>
      </c>
      <c r="G105" s="37">
        <f t="shared" si="3"/>
        <v>11400</v>
      </c>
      <c r="H105" s="37">
        <f t="shared" si="4"/>
        <v>71400</v>
      </c>
      <c r="I105" s="16" t="s">
        <v>36</v>
      </c>
    </row>
    <row r="106" spans="1:9" ht="15" customHeight="1" x14ac:dyDescent="0.25">
      <c r="A106" s="35">
        <v>99</v>
      </c>
      <c r="B106" s="49">
        <v>45199</v>
      </c>
      <c r="C106" s="49" t="s">
        <v>27</v>
      </c>
      <c r="D106" s="52" t="s">
        <v>68</v>
      </c>
      <c r="E106" s="52" t="s">
        <v>123</v>
      </c>
      <c r="F106" s="37">
        <v>58000</v>
      </c>
      <c r="G106" s="37">
        <f t="shared" si="3"/>
        <v>11020</v>
      </c>
      <c r="H106" s="37">
        <f t="shared" si="4"/>
        <v>69020</v>
      </c>
      <c r="I106" s="16" t="s">
        <v>36</v>
      </c>
    </row>
    <row r="107" spans="1:9" ht="15" customHeight="1" x14ac:dyDescent="0.25">
      <c r="A107" s="35">
        <v>100</v>
      </c>
      <c r="B107" s="8">
        <v>45199</v>
      </c>
      <c r="C107" s="49" t="s">
        <v>120</v>
      </c>
      <c r="D107" s="52" t="s">
        <v>122</v>
      </c>
      <c r="E107" s="52" t="s">
        <v>64</v>
      </c>
      <c r="F107" s="37">
        <v>3000</v>
      </c>
      <c r="G107" s="37">
        <f t="shared" si="3"/>
        <v>570</v>
      </c>
      <c r="H107" s="37">
        <f t="shared" si="4"/>
        <v>3570</v>
      </c>
      <c r="I107" s="51" t="s">
        <v>118</v>
      </c>
    </row>
    <row r="108" spans="1:9" ht="15" customHeight="1" x14ac:dyDescent="0.25">
      <c r="A108" s="35">
        <v>101</v>
      </c>
      <c r="B108" s="8">
        <v>45199</v>
      </c>
      <c r="C108" s="49" t="s">
        <v>120</v>
      </c>
      <c r="D108" s="52" t="s">
        <v>60</v>
      </c>
      <c r="E108" s="52" t="s">
        <v>59</v>
      </c>
      <c r="F108" s="37">
        <v>1000</v>
      </c>
      <c r="G108" s="37">
        <f t="shared" si="3"/>
        <v>190</v>
      </c>
      <c r="H108" s="37">
        <f t="shared" si="4"/>
        <v>1190</v>
      </c>
      <c r="I108" s="51" t="s">
        <v>118</v>
      </c>
    </row>
    <row r="109" spans="1:9" ht="15" customHeight="1" x14ac:dyDescent="0.25">
      <c r="A109" s="35">
        <v>102</v>
      </c>
      <c r="B109" s="8">
        <v>45199</v>
      </c>
      <c r="C109" s="49" t="s">
        <v>120</v>
      </c>
      <c r="D109" s="52" t="s">
        <v>60</v>
      </c>
      <c r="E109" s="52" t="s">
        <v>61</v>
      </c>
      <c r="F109" s="37">
        <v>900</v>
      </c>
      <c r="G109" s="37">
        <f t="shared" si="3"/>
        <v>171</v>
      </c>
      <c r="H109" s="37">
        <f t="shared" si="4"/>
        <v>1071</v>
      </c>
      <c r="I109" s="51" t="s">
        <v>118</v>
      </c>
    </row>
    <row r="110" spans="1:9" ht="15" customHeight="1" x14ac:dyDescent="0.25">
      <c r="A110" s="35">
        <v>103</v>
      </c>
      <c r="B110" s="8">
        <v>45199</v>
      </c>
      <c r="C110" s="49" t="s">
        <v>27</v>
      </c>
      <c r="D110" s="52" t="s">
        <v>62</v>
      </c>
      <c r="E110" s="52" t="s">
        <v>63</v>
      </c>
      <c r="F110" s="37">
        <v>1550</v>
      </c>
      <c r="G110" s="37">
        <f t="shared" si="3"/>
        <v>294.5</v>
      </c>
      <c r="H110" s="37">
        <f t="shared" si="4"/>
        <v>1844.5</v>
      </c>
      <c r="I110" s="16" t="s">
        <v>36</v>
      </c>
    </row>
    <row r="111" spans="1:9" ht="15" customHeight="1" x14ac:dyDescent="0.25">
      <c r="A111" s="35">
        <v>104</v>
      </c>
      <c r="B111" s="49">
        <v>45204</v>
      </c>
      <c r="C111" s="49" t="s">
        <v>121</v>
      </c>
      <c r="D111" s="50" t="s">
        <v>72</v>
      </c>
      <c r="E111" s="50" t="s">
        <v>71</v>
      </c>
      <c r="F111" s="37">
        <v>901</v>
      </c>
      <c r="G111" s="37">
        <f t="shared" si="3"/>
        <v>171.19</v>
      </c>
      <c r="H111" s="37">
        <f t="shared" si="4"/>
        <v>1072.19</v>
      </c>
      <c r="I111" s="16" t="s">
        <v>36</v>
      </c>
    </row>
    <row r="112" spans="1:9" ht="15" customHeight="1" x14ac:dyDescent="0.25">
      <c r="A112" s="35">
        <v>105</v>
      </c>
      <c r="B112" s="49">
        <v>45210</v>
      </c>
      <c r="C112" s="49" t="s">
        <v>121</v>
      </c>
      <c r="D112" s="50" t="s">
        <v>80</v>
      </c>
      <c r="E112" s="50" t="s">
        <v>81</v>
      </c>
      <c r="F112" s="37">
        <v>600</v>
      </c>
      <c r="G112" s="37">
        <f t="shared" si="3"/>
        <v>114</v>
      </c>
      <c r="H112" s="37">
        <f t="shared" si="4"/>
        <v>714</v>
      </c>
      <c r="I112" s="51" t="s">
        <v>118</v>
      </c>
    </row>
    <row r="113" spans="1:9" ht="15" customHeight="1" x14ac:dyDescent="0.25">
      <c r="A113" s="35">
        <v>106</v>
      </c>
      <c r="B113" s="49">
        <v>45215</v>
      </c>
      <c r="C113" s="49" t="s">
        <v>120</v>
      </c>
      <c r="D113" s="50" t="s">
        <v>79</v>
      </c>
      <c r="E113" s="50" t="s">
        <v>78</v>
      </c>
      <c r="F113" s="37">
        <v>1316</v>
      </c>
      <c r="G113" s="37">
        <f t="shared" si="3"/>
        <v>250.04</v>
      </c>
      <c r="H113" s="37">
        <f t="shared" si="4"/>
        <v>1566.04</v>
      </c>
      <c r="I113" s="16" t="s">
        <v>36</v>
      </c>
    </row>
    <row r="114" spans="1:9" ht="15" customHeight="1" x14ac:dyDescent="0.25">
      <c r="A114" s="35">
        <v>107</v>
      </c>
      <c r="B114" s="49">
        <v>45220</v>
      </c>
      <c r="C114" s="49" t="s">
        <v>27</v>
      </c>
      <c r="D114" s="50" t="s">
        <v>79</v>
      </c>
      <c r="E114" s="50" t="s">
        <v>78</v>
      </c>
      <c r="F114" s="37">
        <v>1739</v>
      </c>
      <c r="G114" s="37">
        <f t="shared" si="3"/>
        <v>330.41</v>
      </c>
      <c r="H114" s="37">
        <f t="shared" si="4"/>
        <v>2069.41</v>
      </c>
      <c r="I114" s="16" t="s">
        <v>36</v>
      </c>
    </row>
    <row r="115" spans="1:9" ht="15" customHeight="1" x14ac:dyDescent="0.25">
      <c r="A115" s="35">
        <v>108</v>
      </c>
      <c r="B115" s="8">
        <v>45230</v>
      </c>
      <c r="C115" s="49" t="s">
        <v>121</v>
      </c>
      <c r="D115" s="52" t="s">
        <v>66</v>
      </c>
      <c r="E115" s="52" t="s">
        <v>65</v>
      </c>
      <c r="F115" s="37">
        <v>2500</v>
      </c>
      <c r="G115" s="37">
        <f t="shared" si="3"/>
        <v>475</v>
      </c>
      <c r="H115" s="37">
        <f t="shared" si="4"/>
        <v>2975</v>
      </c>
      <c r="I115" s="16" t="s">
        <v>36</v>
      </c>
    </row>
    <row r="116" spans="1:9" ht="15" customHeight="1" x14ac:dyDescent="0.25">
      <c r="A116" s="35">
        <v>109</v>
      </c>
      <c r="B116" s="8">
        <v>45230</v>
      </c>
      <c r="C116" s="49" t="s">
        <v>27</v>
      </c>
      <c r="D116" s="52" t="s">
        <v>122</v>
      </c>
      <c r="E116" s="52" t="s">
        <v>64</v>
      </c>
      <c r="F116" s="37">
        <v>3000</v>
      </c>
      <c r="G116" s="37">
        <f t="shared" si="3"/>
        <v>570</v>
      </c>
      <c r="H116" s="37">
        <f t="shared" si="4"/>
        <v>3570</v>
      </c>
      <c r="I116" s="51" t="s">
        <v>118</v>
      </c>
    </row>
    <row r="117" spans="1:9" ht="15" customHeight="1" x14ac:dyDescent="0.25">
      <c r="A117" s="35">
        <v>110</v>
      </c>
      <c r="B117" s="8">
        <v>45230</v>
      </c>
      <c r="C117" s="49" t="s">
        <v>27</v>
      </c>
      <c r="D117" s="52" t="s">
        <v>60</v>
      </c>
      <c r="E117" s="52" t="s">
        <v>59</v>
      </c>
      <c r="F117" s="37">
        <v>1000</v>
      </c>
      <c r="G117" s="37">
        <f t="shared" si="3"/>
        <v>190</v>
      </c>
      <c r="H117" s="37">
        <f t="shared" si="4"/>
        <v>1190</v>
      </c>
      <c r="I117" s="51" t="s">
        <v>118</v>
      </c>
    </row>
    <row r="118" spans="1:9" ht="15" customHeight="1" x14ac:dyDescent="0.25">
      <c r="A118" s="35">
        <v>111</v>
      </c>
      <c r="B118" s="8">
        <v>45230</v>
      </c>
      <c r="C118" s="49" t="s">
        <v>27</v>
      </c>
      <c r="D118" s="52" t="s">
        <v>60</v>
      </c>
      <c r="E118" s="52" t="s">
        <v>61</v>
      </c>
      <c r="F118" s="37">
        <v>900</v>
      </c>
      <c r="G118" s="37">
        <f t="shared" si="3"/>
        <v>171</v>
      </c>
      <c r="H118" s="37">
        <f t="shared" si="4"/>
        <v>1071</v>
      </c>
      <c r="I118" s="51" t="s">
        <v>118</v>
      </c>
    </row>
    <row r="119" spans="1:9" ht="15" customHeight="1" x14ac:dyDescent="0.25">
      <c r="A119" s="35">
        <v>112</v>
      </c>
      <c r="B119" s="8">
        <v>45230</v>
      </c>
      <c r="C119" s="49" t="s">
        <v>121</v>
      </c>
      <c r="D119" s="52" t="s">
        <v>62</v>
      </c>
      <c r="E119" s="52" t="s">
        <v>63</v>
      </c>
      <c r="F119" s="37">
        <v>1385</v>
      </c>
      <c r="G119" s="37">
        <f t="shared" si="3"/>
        <v>263.14999999999998</v>
      </c>
      <c r="H119" s="37">
        <f t="shared" si="4"/>
        <v>1648.15</v>
      </c>
      <c r="I119" s="16" t="s">
        <v>36</v>
      </c>
    </row>
    <row r="120" spans="1:9" ht="15" customHeight="1" x14ac:dyDescent="0.25">
      <c r="A120" s="35">
        <v>113</v>
      </c>
      <c r="B120" s="49">
        <v>45235</v>
      </c>
      <c r="C120" s="49" t="s">
        <v>121</v>
      </c>
      <c r="D120" s="50" t="s">
        <v>72</v>
      </c>
      <c r="E120" s="50" t="s">
        <v>71</v>
      </c>
      <c r="F120" s="37">
        <v>902</v>
      </c>
      <c r="G120" s="37">
        <f t="shared" si="3"/>
        <v>171.38</v>
      </c>
      <c r="H120" s="37">
        <f t="shared" si="4"/>
        <v>1073.3800000000001</v>
      </c>
      <c r="I120" s="51" t="s">
        <v>118</v>
      </c>
    </row>
    <row r="121" spans="1:9" ht="15" customHeight="1" x14ac:dyDescent="0.25">
      <c r="A121" s="35">
        <v>114</v>
      </c>
      <c r="B121" s="49">
        <v>45240</v>
      </c>
      <c r="C121" s="49" t="s">
        <v>27</v>
      </c>
      <c r="D121" s="50" t="s">
        <v>74</v>
      </c>
      <c r="E121" s="50" t="s">
        <v>73</v>
      </c>
      <c r="F121" s="37">
        <v>4000</v>
      </c>
      <c r="G121" s="37">
        <f t="shared" si="3"/>
        <v>760</v>
      </c>
      <c r="H121" s="37">
        <f t="shared" si="4"/>
        <v>4760</v>
      </c>
      <c r="I121" s="51" t="s">
        <v>118</v>
      </c>
    </row>
    <row r="122" spans="1:9" ht="15" customHeight="1" x14ac:dyDescent="0.25">
      <c r="A122" s="35">
        <v>115</v>
      </c>
      <c r="B122" s="49">
        <v>45246</v>
      </c>
      <c r="C122" s="49" t="s">
        <v>121</v>
      </c>
      <c r="D122" s="50" t="s">
        <v>79</v>
      </c>
      <c r="E122" s="50" t="s">
        <v>78</v>
      </c>
      <c r="F122" s="37">
        <v>1499</v>
      </c>
      <c r="G122" s="37">
        <f t="shared" si="3"/>
        <v>284.81</v>
      </c>
      <c r="H122" s="37">
        <f t="shared" si="4"/>
        <v>1783.81</v>
      </c>
      <c r="I122" s="51" t="s">
        <v>118</v>
      </c>
    </row>
    <row r="123" spans="1:9" ht="15" customHeight="1" x14ac:dyDescent="0.25">
      <c r="A123" s="35">
        <v>116</v>
      </c>
      <c r="B123" s="8">
        <v>45260</v>
      </c>
      <c r="C123" s="49" t="s">
        <v>121</v>
      </c>
      <c r="D123" s="52" t="s">
        <v>66</v>
      </c>
      <c r="E123" s="52" t="s">
        <v>65</v>
      </c>
      <c r="F123" s="37">
        <v>2500</v>
      </c>
      <c r="G123" s="37">
        <f t="shared" si="3"/>
        <v>475</v>
      </c>
      <c r="H123" s="37">
        <f t="shared" si="4"/>
        <v>2975</v>
      </c>
      <c r="I123" s="14" t="s">
        <v>34</v>
      </c>
    </row>
    <row r="124" spans="1:9" ht="15" customHeight="1" x14ac:dyDescent="0.25">
      <c r="A124" s="35">
        <v>117</v>
      </c>
      <c r="B124" s="8">
        <v>45260</v>
      </c>
      <c r="C124" s="49" t="s">
        <v>121</v>
      </c>
      <c r="D124" s="52" t="s">
        <v>122</v>
      </c>
      <c r="E124" s="52" t="s">
        <v>64</v>
      </c>
      <c r="F124" s="37">
        <v>3000</v>
      </c>
      <c r="G124" s="37">
        <f t="shared" si="3"/>
        <v>570</v>
      </c>
      <c r="H124" s="37">
        <f t="shared" si="4"/>
        <v>3570</v>
      </c>
      <c r="I124" s="51" t="s">
        <v>118</v>
      </c>
    </row>
    <row r="125" spans="1:9" ht="15" customHeight="1" x14ac:dyDescent="0.25">
      <c r="A125" s="35">
        <v>118</v>
      </c>
      <c r="B125" s="8">
        <v>45260</v>
      </c>
      <c r="C125" s="49" t="s">
        <v>121</v>
      </c>
      <c r="D125" s="52" t="s">
        <v>60</v>
      </c>
      <c r="E125" s="52" t="s">
        <v>59</v>
      </c>
      <c r="F125" s="37">
        <v>1000</v>
      </c>
      <c r="G125" s="37">
        <f t="shared" si="3"/>
        <v>190</v>
      </c>
      <c r="H125" s="37">
        <f t="shared" si="4"/>
        <v>1190</v>
      </c>
      <c r="I125" s="51" t="s">
        <v>118</v>
      </c>
    </row>
    <row r="126" spans="1:9" ht="15" customHeight="1" x14ac:dyDescent="0.25">
      <c r="A126" s="35">
        <v>119</v>
      </c>
      <c r="B126" s="8">
        <v>45260</v>
      </c>
      <c r="C126" s="49" t="s">
        <v>121</v>
      </c>
      <c r="D126" s="52" t="s">
        <v>60</v>
      </c>
      <c r="E126" s="52" t="s">
        <v>61</v>
      </c>
      <c r="F126" s="37">
        <v>900</v>
      </c>
      <c r="G126" s="37">
        <f t="shared" si="3"/>
        <v>171</v>
      </c>
      <c r="H126" s="37">
        <f t="shared" si="4"/>
        <v>1071</v>
      </c>
      <c r="I126" s="51" t="s">
        <v>118</v>
      </c>
    </row>
    <row r="127" spans="1:9" ht="15" customHeight="1" x14ac:dyDescent="0.25">
      <c r="A127" s="35">
        <v>120</v>
      </c>
      <c r="B127" s="8">
        <v>45260</v>
      </c>
      <c r="C127" s="49" t="s">
        <v>120</v>
      </c>
      <c r="D127" s="52" t="s">
        <v>62</v>
      </c>
      <c r="E127" s="52" t="s">
        <v>63</v>
      </c>
      <c r="F127" s="37">
        <v>1487</v>
      </c>
      <c r="G127" s="37">
        <f t="shared" si="3"/>
        <v>282.53000000000003</v>
      </c>
      <c r="H127" s="37">
        <f t="shared" si="4"/>
        <v>1769.53</v>
      </c>
      <c r="I127" s="16" t="s">
        <v>36</v>
      </c>
    </row>
    <row r="128" spans="1:9" ht="15" customHeight="1" x14ac:dyDescent="0.25">
      <c r="A128" s="35">
        <v>121</v>
      </c>
      <c r="B128" s="49">
        <v>45263</v>
      </c>
      <c r="C128" s="49" t="s">
        <v>120</v>
      </c>
      <c r="D128" s="50" t="s">
        <v>79</v>
      </c>
      <c r="E128" s="50" t="s">
        <v>78</v>
      </c>
      <c r="F128" s="37">
        <v>1718</v>
      </c>
      <c r="G128" s="37">
        <f t="shared" si="3"/>
        <v>326.42</v>
      </c>
      <c r="H128" s="37">
        <f t="shared" si="4"/>
        <v>2044.42</v>
      </c>
      <c r="I128" s="51" t="s">
        <v>118</v>
      </c>
    </row>
    <row r="129" spans="1:9" ht="15" customHeight="1" x14ac:dyDescent="0.25">
      <c r="A129" s="35">
        <v>122</v>
      </c>
      <c r="B129" s="49">
        <v>45265</v>
      </c>
      <c r="C129" s="49" t="s">
        <v>121</v>
      </c>
      <c r="D129" s="50" t="s">
        <v>72</v>
      </c>
      <c r="E129" s="50" t="s">
        <v>71</v>
      </c>
      <c r="F129" s="37">
        <v>903</v>
      </c>
      <c r="G129" s="37">
        <f t="shared" si="3"/>
        <v>171.57</v>
      </c>
      <c r="H129" s="37">
        <f t="shared" si="4"/>
        <v>1074.57</v>
      </c>
      <c r="I129" s="51" t="s">
        <v>118</v>
      </c>
    </row>
    <row r="130" spans="1:9" ht="15" customHeight="1" x14ac:dyDescent="0.25">
      <c r="A130" s="35">
        <v>123</v>
      </c>
      <c r="B130" s="8">
        <v>45291</v>
      </c>
      <c r="C130" s="49" t="s">
        <v>121</v>
      </c>
      <c r="D130" s="52" t="s">
        <v>66</v>
      </c>
      <c r="E130" s="52" t="s">
        <v>65</v>
      </c>
      <c r="F130" s="37">
        <v>2500</v>
      </c>
      <c r="G130" s="37">
        <f t="shared" si="3"/>
        <v>475</v>
      </c>
      <c r="H130" s="37">
        <f t="shared" si="4"/>
        <v>2975</v>
      </c>
      <c r="I130" s="14" t="s">
        <v>34</v>
      </c>
    </row>
    <row r="131" spans="1:9" ht="15" customHeight="1" x14ac:dyDescent="0.25">
      <c r="A131" s="35">
        <v>124</v>
      </c>
      <c r="B131" s="49">
        <v>45291</v>
      </c>
      <c r="C131" s="49" t="s">
        <v>120</v>
      </c>
      <c r="D131" s="52" t="s">
        <v>68</v>
      </c>
      <c r="E131" s="52" t="s">
        <v>67</v>
      </c>
      <c r="F131" s="37">
        <v>60000</v>
      </c>
      <c r="G131" s="37">
        <f t="shared" si="3"/>
        <v>11400</v>
      </c>
      <c r="H131" s="37">
        <f t="shared" si="4"/>
        <v>71400</v>
      </c>
      <c r="I131" s="16" t="s">
        <v>36</v>
      </c>
    </row>
    <row r="132" spans="1:9" ht="15" customHeight="1" x14ac:dyDescent="0.25">
      <c r="A132" s="35">
        <v>125</v>
      </c>
      <c r="B132" s="49">
        <v>45291</v>
      </c>
      <c r="C132" s="49" t="s">
        <v>27</v>
      </c>
      <c r="D132" s="52" t="s">
        <v>68</v>
      </c>
      <c r="E132" s="52" t="s">
        <v>123</v>
      </c>
      <c r="F132" s="37">
        <v>58000</v>
      </c>
      <c r="G132" s="37">
        <f t="shared" si="3"/>
        <v>11020</v>
      </c>
      <c r="H132" s="37">
        <f t="shared" si="4"/>
        <v>69020</v>
      </c>
      <c r="I132" s="14" t="s">
        <v>34</v>
      </c>
    </row>
    <row r="133" spans="1:9" ht="15" customHeight="1" x14ac:dyDescent="0.25">
      <c r="A133" s="35">
        <v>126</v>
      </c>
      <c r="B133" s="8">
        <v>45291</v>
      </c>
      <c r="C133" s="49" t="s">
        <v>120</v>
      </c>
      <c r="D133" s="52" t="s">
        <v>122</v>
      </c>
      <c r="E133" s="52" t="s">
        <v>64</v>
      </c>
      <c r="F133" s="37">
        <v>3000</v>
      </c>
      <c r="G133" s="37">
        <f t="shared" si="3"/>
        <v>570</v>
      </c>
      <c r="H133" s="37">
        <f t="shared" si="4"/>
        <v>3570</v>
      </c>
      <c r="I133" s="51" t="s">
        <v>118</v>
      </c>
    </row>
    <row r="134" spans="1:9" ht="15" customHeight="1" x14ac:dyDescent="0.25">
      <c r="A134" s="35">
        <v>127</v>
      </c>
      <c r="B134" s="8">
        <v>45291</v>
      </c>
      <c r="C134" s="49" t="s">
        <v>120</v>
      </c>
      <c r="D134" s="52" t="s">
        <v>60</v>
      </c>
      <c r="E134" s="52" t="s">
        <v>59</v>
      </c>
      <c r="F134" s="37">
        <v>1000</v>
      </c>
      <c r="G134" s="37">
        <f t="shared" si="3"/>
        <v>190</v>
      </c>
      <c r="H134" s="37">
        <f t="shared" si="4"/>
        <v>1190</v>
      </c>
      <c r="I134" s="51" t="s">
        <v>118</v>
      </c>
    </row>
    <row r="135" spans="1:9" ht="15" customHeight="1" x14ac:dyDescent="0.25">
      <c r="A135" s="35">
        <v>128</v>
      </c>
      <c r="B135" s="8">
        <v>45291</v>
      </c>
      <c r="C135" s="49" t="s">
        <v>120</v>
      </c>
      <c r="D135" s="52" t="s">
        <v>60</v>
      </c>
      <c r="E135" s="52" t="s">
        <v>61</v>
      </c>
      <c r="F135" s="37">
        <v>900</v>
      </c>
      <c r="G135" s="37">
        <f t="shared" si="3"/>
        <v>171</v>
      </c>
      <c r="H135" s="37">
        <f t="shared" si="4"/>
        <v>1071</v>
      </c>
      <c r="I135" s="51" t="s">
        <v>118</v>
      </c>
    </row>
    <row r="136" spans="1:9" ht="15" customHeight="1" x14ac:dyDescent="0.25">
      <c r="A136" s="35">
        <v>129</v>
      </c>
      <c r="B136" s="8">
        <v>45291</v>
      </c>
      <c r="C136" s="49" t="s">
        <v>27</v>
      </c>
      <c r="D136" s="52" t="s">
        <v>62</v>
      </c>
      <c r="E136" s="52" t="s">
        <v>63</v>
      </c>
      <c r="F136" s="37">
        <v>1453</v>
      </c>
      <c r="G136" s="37">
        <f t="shared" si="3"/>
        <v>276.07</v>
      </c>
      <c r="H136" s="37">
        <f t="shared" si="4"/>
        <v>1729.07</v>
      </c>
      <c r="I136" s="51" t="s">
        <v>118</v>
      </c>
    </row>
  </sheetData>
  <autoFilter ref="A7:I136">
    <sortState ref="A4:I132">
      <sortCondition ref="A3:A13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selection activeCell="C24" sqref="C24"/>
    </sheetView>
  </sheetViews>
  <sheetFormatPr baseColWidth="10" defaultRowHeight="15" x14ac:dyDescent="0.25"/>
  <cols>
    <col min="1" max="1" width="14.140625" customWidth="1"/>
    <col min="3" max="3" width="19.7109375" customWidth="1"/>
    <col min="4" max="8" width="17.42578125" style="34" customWidth="1"/>
  </cols>
  <sheetData>
    <row r="1" spans="1:9" ht="22.5" x14ac:dyDescent="0.25">
      <c r="A1" s="30" t="s">
        <v>127</v>
      </c>
    </row>
    <row r="5" spans="1:9" x14ac:dyDescent="0.25">
      <c r="A5" s="53"/>
      <c r="B5" s="53"/>
      <c r="C5" s="53"/>
      <c r="D5" s="54">
        <f>SUM(D8:D199)</f>
        <v>681000</v>
      </c>
      <c r="E5" s="54">
        <f t="shared" ref="E5:F5" si="0">SUM(E8:E199)</f>
        <v>134497.5</v>
      </c>
      <c r="F5" s="54">
        <f t="shared" si="0"/>
        <v>195042.77999999945</v>
      </c>
      <c r="G5" s="54">
        <f>SUM(G8:G199)</f>
        <v>38400</v>
      </c>
      <c r="H5" s="54">
        <f>SUM(H8:H199)</f>
        <v>1048940.2799999979</v>
      </c>
      <c r="I5" s="54">
        <f>SUM(I8:I199)</f>
        <v>0</v>
      </c>
    </row>
    <row r="6" spans="1:9" ht="3" customHeight="1" x14ac:dyDescent="0.25"/>
    <row r="7" spans="1:9" x14ac:dyDescent="0.25">
      <c r="A7" s="61" t="s">
        <v>83</v>
      </c>
      <c r="B7" s="61" t="s">
        <v>100</v>
      </c>
      <c r="C7" s="61" t="s">
        <v>119</v>
      </c>
      <c r="D7" s="62" t="s">
        <v>110</v>
      </c>
      <c r="E7" s="62" t="s">
        <v>111</v>
      </c>
      <c r="F7" s="62" t="s">
        <v>112</v>
      </c>
      <c r="G7" s="62" t="s">
        <v>113</v>
      </c>
      <c r="H7" s="62" t="s">
        <v>124</v>
      </c>
      <c r="I7" s="62" t="s">
        <v>126</v>
      </c>
    </row>
    <row r="8" spans="1:9" x14ac:dyDescent="0.25">
      <c r="A8" s="36" t="s">
        <v>91</v>
      </c>
      <c r="B8" s="36" t="s">
        <v>115</v>
      </c>
      <c r="C8" s="36" t="s">
        <v>120</v>
      </c>
      <c r="D8" s="37">
        <v>3000</v>
      </c>
      <c r="E8" s="37">
        <v>592.5</v>
      </c>
      <c r="F8" s="37">
        <v>907.83999999999992</v>
      </c>
      <c r="G8" s="37">
        <v>200</v>
      </c>
      <c r="H8" s="37">
        <f>SUM(D8:G8)</f>
        <v>4700.34</v>
      </c>
      <c r="I8" s="14" t="s">
        <v>34</v>
      </c>
    </row>
    <row r="9" spans="1:9" x14ac:dyDescent="0.25">
      <c r="A9" s="36" t="s">
        <v>88</v>
      </c>
      <c r="B9" s="36" t="s">
        <v>115</v>
      </c>
      <c r="C9" s="36" t="s">
        <v>120</v>
      </c>
      <c r="D9" s="37">
        <v>4000</v>
      </c>
      <c r="E9" s="37">
        <v>790</v>
      </c>
      <c r="F9" s="37">
        <v>1105.3399999999999</v>
      </c>
      <c r="G9" s="37">
        <v>200</v>
      </c>
      <c r="H9" s="37">
        <f>SUM(D9:G9)</f>
        <v>6095.34</v>
      </c>
      <c r="I9" s="16" t="s">
        <v>36</v>
      </c>
    </row>
    <row r="10" spans="1:9" x14ac:dyDescent="0.25">
      <c r="A10" s="36" t="s">
        <v>93</v>
      </c>
      <c r="B10" s="36" t="s">
        <v>115</v>
      </c>
      <c r="C10" s="36" t="s">
        <v>27</v>
      </c>
      <c r="D10" s="37">
        <v>6000</v>
      </c>
      <c r="E10" s="37">
        <v>1185</v>
      </c>
      <c r="F10" s="37">
        <v>1500.34</v>
      </c>
      <c r="G10" s="37">
        <v>200</v>
      </c>
      <c r="H10" s="37">
        <f>SUM(D10:G10)</f>
        <v>8885.34</v>
      </c>
      <c r="I10" s="14" t="s">
        <v>34</v>
      </c>
    </row>
    <row r="11" spans="1:9" x14ac:dyDescent="0.25">
      <c r="A11" s="36" t="s">
        <v>87</v>
      </c>
      <c r="B11" s="36" t="s">
        <v>115</v>
      </c>
      <c r="C11" s="36" t="s">
        <v>27</v>
      </c>
      <c r="D11" s="37">
        <v>4000</v>
      </c>
      <c r="E11" s="37">
        <v>790</v>
      </c>
      <c r="F11" s="37">
        <v>1105.3399999999999</v>
      </c>
      <c r="G11" s="37">
        <v>200</v>
      </c>
      <c r="H11" s="37">
        <f>SUM(D11:G11)</f>
        <v>6095.34</v>
      </c>
      <c r="I11" s="14" t="s">
        <v>34</v>
      </c>
    </row>
    <row r="12" spans="1:9" x14ac:dyDescent="0.25">
      <c r="A12" s="36" t="s">
        <v>97</v>
      </c>
      <c r="B12" s="36" t="s">
        <v>115</v>
      </c>
      <c r="C12" s="36" t="s">
        <v>121</v>
      </c>
      <c r="D12" s="37">
        <v>4500</v>
      </c>
      <c r="E12" s="37">
        <v>888.75</v>
      </c>
      <c r="F12" s="37">
        <v>1204.0899999999999</v>
      </c>
      <c r="G12" s="37">
        <v>200</v>
      </c>
      <c r="H12" s="37">
        <f>SUM(D12:G12)</f>
        <v>6792.84</v>
      </c>
      <c r="I12" s="16" t="s">
        <v>36</v>
      </c>
    </row>
    <row r="13" spans="1:9" x14ac:dyDescent="0.25">
      <c r="A13" s="36" t="s">
        <v>92</v>
      </c>
      <c r="B13" s="36" t="s">
        <v>115</v>
      </c>
      <c r="C13" s="36" t="s">
        <v>121</v>
      </c>
      <c r="D13" s="37">
        <v>4700</v>
      </c>
      <c r="E13" s="37">
        <v>928.25</v>
      </c>
      <c r="F13" s="37">
        <v>1243.5899999999999</v>
      </c>
      <c r="G13" s="37">
        <v>200</v>
      </c>
      <c r="H13" s="37">
        <f>SUM(D13:G13)</f>
        <v>7071.84</v>
      </c>
      <c r="I13" s="16" t="s">
        <v>36</v>
      </c>
    </row>
    <row r="14" spans="1:9" x14ac:dyDescent="0.25">
      <c r="A14" s="36" t="s">
        <v>95</v>
      </c>
      <c r="B14" s="36" t="s">
        <v>115</v>
      </c>
      <c r="C14" s="36" t="s">
        <v>27</v>
      </c>
      <c r="D14" s="37">
        <v>3900</v>
      </c>
      <c r="E14" s="37">
        <v>770.25</v>
      </c>
      <c r="F14" s="37">
        <v>1085.5899999999999</v>
      </c>
      <c r="G14" s="37">
        <v>200</v>
      </c>
      <c r="H14" s="37">
        <f>SUM(D14:G14)</f>
        <v>5955.84</v>
      </c>
      <c r="I14" s="15" t="s">
        <v>37</v>
      </c>
    </row>
    <row r="15" spans="1:9" x14ac:dyDescent="0.25">
      <c r="A15" s="36" t="s">
        <v>94</v>
      </c>
      <c r="B15" s="36" t="s">
        <v>115</v>
      </c>
      <c r="C15" s="36" t="s">
        <v>120</v>
      </c>
      <c r="D15" s="37">
        <v>5100</v>
      </c>
      <c r="E15" s="37">
        <v>1007.25</v>
      </c>
      <c r="F15" s="37">
        <v>1322.59</v>
      </c>
      <c r="G15" s="37">
        <v>200</v>
      </c>
      <c r="H15" s="37">
        <f>SUM(D15:G15)</f>
        <v>7629.84</v>
      </c>
      <c r="I15" s="14" t="s">
        <v>34</v>
      </c>
    </row>
    <row r="16" spans="1:9" x14ac:dyDescent="0.25">
      <c r="A16" s="36" t="s">
        <v>85</v>
      </c>
      <c r="B16" s="36" t="s">
        <v>115</v>
      </c>
      <c r="C16" s="36" t="s">
        <v>121</v>
      </c>
      <c r="D16" s="37">
        <v>2000</v>
      </c>
      <c r="E16" s="37">
        <v>395</v>
      </c>
      <c r="F16" s="37">
        <v>710.33999999999992</v>
      </c>
      <c r="G16" s="37">
        <v>200</v>
      </c>
      <c r="H16" s="37">
        <f>SUM(D16:G16)</f>
        <v>3305.34</v>
      </c>
      <c r="I16" s="15" t="s">
        <v>37</v>
      </c>
    </row>
    <row r="17" spans="1:9" x14ac:dyDescent="0.25">
      <c r="A17" s="36" t="s">
        <v>86</v>
      </c>
      <c r="B17" s="36" t="s">
        <v>115</v>
      </c>
      <c r="C17" s="36" t="s">
        <v>27</v>
      </c>
      <c r="D17" s="37">
        <v>3800</v>
      </c>
      <c r="E17" s="37">
        <v>750.5</v>
      </c>
      <c r="F17" s="37">
        <v>1065.8399999999999</v>
      </c>
      <c r="G17" s="37">
        <v>200</v>
      </c>
      <c r="H17" s="37">
        <f>SUM(D17:G17)</f>
        <v>5816.34</v>
      </c>
      <c r="I17" s="16" t="s">
        <v>36</v>
      </c>
    </row>
    <row r="18" spans="1:9" x14ac:dyDescent="0.25">
      <c r="A18" s="36" t="s">
        <v>89</v>
      </c>
      <c r="B18" s="36" t="s">
        <v>115</v>
      </c>
      <c r="C18" s="36" t="s">
        <v>27</v>
      </c>
      <c r="D18" s="37">
        <v>4650</v>
      </c>
      <c r="E18" s="37">
        <v>918.375</v>
      </c>
      <c r="F18" s="37">
        <v>1233.7149999999999</v>
      </c>
      <c r="G18" s="37">
        <v>200</v>
      </c>
      <c r="H18" s="37">
        <f>SUM(D18:G18)</f>
        <v>7002.09</v>
      </c>
      <c r="I18" s="15" t="s">
        <v>37</v>
      </c>
    </row>
    <row r="19" spans="1:9" x14ac:dyDescent="0.25">
      <c r="A19" s="36" t="s">
        <v>96</v>
      </c>
      <c r="B19" s="36" t="s">
        <v>115</v>
      </c>
      <c r="C19" s="36" t="s">
        <v>120</v>
      </c>
      <c r="D19" s="37">
        <v>1800</v>
      </c>
      <c r="E19" s="37">
        <v>355.5</v>
      </c>
      <c r="F19" s="37">
        <v>670.83999999999992</v>
      </c>
      <c r="G19" s="37">
        <v>200</v>
      </c>
      <c r="H19" s="37">
        <f>SUM(D19:G19)</f>
        <v>3026.34</v>
      </c>
      <c r="I19" s="16" t="s">
        <v>36</v>
      </c>
    </row>
    <row r="20" spans="1:9" x14ac:dyDescent="0.25">
      <c r="A20" s="36" t="s">
        <v>90</v>
      </c>
      <c r="B20" s="36" t="s">
        <v>115</v>
      </c>
      <c r="C20" s="36" t="s">
        <v>120</v>
      </c>
      <c r="D20" s="37">
        <v>3000</v>
      </c>
      <c r="E20" s="37">
        <v>592.5</v>
      </c>
      <c r="F20" s="37">
        <v>907.83999999999992</v>
      </c>
      <c r="G20" s="37">
        <v>200</v>
      </c>
      <c r="H20" s="37">
        <f>SUM(D20:G20)</f>
        <v>4700.34</v>
      </c>
      <c r="I20" s="16" t="s">
        <v>36</v>
      </c>
    </row>
    <row r="21" spans="1:9" x14ac:dyDescent="0.25">
      <c r="A21" s="36" t="s">
        <v>84</v>
      </c>
      <c r="B21" s="36" t="s">
        <v>115</v>
      </c>
      <c r="C21" s="36" t="s">
        <v>27</v>
      </c>
      <c r="D21" s="37">
        <v>3000</v>
      </c>
      <c r="E21" s="37">
        <v>592.5</v>
      </c>
      <c r="F21" s="37">
        <v>907.83999999999992</v>
      </c>
      <c r="G21" s="37">
        <v>200</v>
      </c>
      <c r="H21" s="37">
        <f>SUM(D21:G21)</f>
        <v>4700.34</v>
      </c>
      <c r="I21" s="14" t="s">
        <v>34</v>
      </c>
    </row>
    <row r="22" spans="1:9" x14ac:dyDescent="0.25">
      <c r="A22" s="36" t="s">
        <v>99</v>
      </c>
      <c r="B22" s="36" t="s">
        <v>115</v>
      </c>
      <c r="C22" s="36" t="s">
        <v>121</v>
      </c>
      <c r="D22" s="37">
        <v>1800</v>
      </c>
      <c r="E22" s="37">
        <v>355.5</v>
      </c>
      <c r="F22" s="37">
        <v>670.83999999999992</v>
      </c>
      <c r="G22" s="37">
        <v>200</v>
      </c>
      <c r="H22" s="37">
        <f>SUM(D22:G22)</f>
        <v>3026.34</v>
      </c>
      <c r="I22" s="15" t="s">
        <v>37</v>
      </c>
    </row>
    <row r="23" spans="1:9" x14ac:dyDescent="0.25">
      <c r="A23" s="36" t="s">
        <v>98</v>
      </c>
      <c r="B23" s="36" t="s">
        <v>115</v>
      </c>
      <c r="C23" s="36" t="s">
        <v>121</v>
      </c>
      <c r="D23" s="37">
        <v>1500</v>
      </c>
      <c r="E23" s="37">
        <v>296.25</v>
      </c>
      <c r="F23" s="37">
        <v>611.58999999999992</v>
      </c>
      <c r="G23" s="37">
        <v>200</v>
      </c>
      <c r="H23" s="37">
        <f>SUM(D23:G23)</f>
        <v>2607.84</v>
      </c>
      <c r="I23" s="14" t="s">
        <v>34</v>
      </c>
    </row>
    <row r="24" spans="1:9" x14ac:dyDescent="0.25">
      <c r="A24" s="36" t="s">
        <v>91</v>
      </c>
      <c r="B24" s="36" t="s">
        <v>103</v>
      </c>
      <c r="C24" s="36" t="s">
        <v>120</v>
      </c>
      <c r="D24" s="37">
        <v>3000</v>
      </c>
      <c r="E24" s="37">
        <v>592.5</v>
      </c>
      <c r="F24" s="37">
        <v>907.83999999999992</v>
      </c>
      <c r="G24" s="37">
        <v>200</v>
      </c>
      <c r="H24" s="37">
        <f>SUM(D24:G24)</f>
        <v>4700.34</v>
      </c>
      <c r="I24" s="14" t="s">
        <v>34</v>
      </c>
    </row>
    <row r="25" spans="1:9" x14ac:dyDescent="0.25">
      <c r="A25" s="36" t="s">
        <v>88</v>
      </c>
      <c r="B25" s="36" t="s">
        <v>103</v>
      </c>
      <c r="C25" s="36" t="s">
        <v>120</v>
      </c>
      <c r="D25" s="37">
        <v>4000</v>
      </c>
      <c r="E25" s="37">
        <v>790</v>
      </c>
      <c r="F25" s="37">
        <v>1105.3399999999999</v>
      </c>
      <c r="G25" s="37">
        <v>200</v>
      </c>
      <c r="H25" s="37">
        <f>SUM(D25:G25)</f>
        <v>6095.34</v>
      </c>
      <c r="I25" s="15" t="s">
        <v>37</v>
      </c>
    </row>
    <row r="26" spans="1:9" x14ac:dyDescent="0.25">
      <c r="A26" s="36" t="s">
        <v>93</v>
      </c>
      <c r="B26" s="36" t="s">
        <v>103</v>
      </c>
      <c r="C26" s="36" t="s">
        <v>27</v>
      </c>
      <c r="D26" s="37">
        <v>6000</v>
      </c>
      <c r="E26" s="37">
        <v>1185</v>
      </c>
      <c r="F26" s="37">
        <v>1500.34</v>
      </c>
      <c r="G26" s="37">
        <v>200</v>
      </c>
      <c r="H26" s="37">
        <f>SUM(D26:G26)</f>
        <v>8885.34</v>
      </c>
      <c r="I26" s="14" t="s">
        <v>34</v>
      </c>
    </row>
    <row r="27" spans="1:9" x14ac:dyDescent="0.25">
      <c r="A27" s="36" t="s">
        <v>87</v>
      </c>
      <c r="B27" s="36" t="s">
        <v>103</v>
      </c>
      <c r="C27" s="36" t="s">
        <v>27</v>
      </c>
      <c r="D27" s="37">
        <v>4000</v>
      </c>
      <c r="E27" s="37">
        <v>790</v>
      </c>
      <c r="F27" s="37">
        <v>1105.3399999999999</v>
      </c>
      <c r="G27" s="37">
        <v>200</v>
      </c>
      <c r="H27" s="37">
        <f>SUM(D27:G27)</f>
        <v>6095.34</v>
      </c>
      <c r="I27" s="14" t="s">
        <v>34</v>
      </c>
    </row>
    <row r="28" spans="1:9" x14ac:dyDescent="0.25">
      <c r="A28" s="36" t="s">
        <v>97</v>
      </c>
      <c r="B28" s="36" t="s">
        <v>103</v>
      </c>
      <c r="C28" s="36" t="s">
        <v>121</v>
      </c>
      <c r="D28" s="37">
        <v>4500</v>
      </c>
      <c r="E28" s="37">
        <v>888.75</v>
      </c>
      <c r="F28" s="37">
        <v>1204.0899999999999</v>
      </c>
      <c r="G28" s="37">
        <v>200</v>
      </c>
      <c r="H28" s="37">
        <f>SUM(D28:G28)</f>
        <v>6792.84</v>
      </c>
      <c r="I28" s="16" t="s">
        <v>36</v>
      </c>
    </row>
    <row r="29" spans="1:9" x14ac:dyDescent="0.25">
      <c r="A29" s="36" t="s">
        <v>92</v>
      </c>
      <c r="B29" s="36" t="s">
        <v>103</v>
      </c>
      <c r="C29" s="36" t="s">
        <v>121</v>
      </c>
      <c r="D29" s="37">
        <v>4700</v>
      </c>
      <c r="E29" s="37">
        <v>928.25</v>
      </c>
      <c r="F29" s="37">
        <v>1243.5899999999999</v>
      </c>
      <c r="G29" s="37">
        <v>200</v>
      </c>
      <c r="H29" s="37">
        <f>SUM(D29:G29)</f>
        <v>7071.84</v>
      </c>
      <c r="I29" s="14" t="s">
        <v>34</v>
      </c>
    </row>
    <row r="30" spans="1:9" x14ac:dyDescent="0.25">
      <c r="A30" s="36" t="s">
        <v>95</v>
      </c>
      <c r="B30" s="36" t="s">
        <v>103</v>
      </c>
      <c r="C30" s="36" t="s">
        <v>27</v>
      </c>
      <c r="D30" s="37">
        <v>3900</v>
      </c>
      <c r="E30" s="37">
        <v>770.25</v>
      </c>
      <c r="F30" s="37">
        <v>1085.5899999999999</v>
      </c>
      <c r="G30" s="37">
        <v>200</v>
      </c>
      <c r="H30" s="37">
        <f>SUM(D30:G30)</f>
        <v>5955.84</v>
      </c>
      <c r="I30" s="15" t="s">
        <v>37</v>
      </c>
    </row>
    <row r="31" spans="1:9" x14ac:dyDescent="0.25">
      <c r="A31" s="36" t="s">
        <v>94</v>
      </c>
      <c r="B31" s="36" t="s">
        <v>103</v>
      </c>
      <c r="C31" s="36" t="s">
        <v>120</v>
      </c>
      <c r="D31" s="37">
        <v>5100</v>
      </c>
      <c r="E31" s="37">
        <v>1007.25</v>
      </c>
      <c r="F31" s="37">
        <v>1322.59</v>
      </c>
      <c r="G31" s="37">
        <v>200</v>
      </c>
      <c r="H31" s="37">
        <f>SUM(D31:G31)</f>
        <v>7629.84</v>
      </c>
      <c r="I31" s="14" t="s">
        <v>34</v>
      </c>
    </row>
    <row r="32" spans="1:9" x14ac:dyDescent="0.25">
      <c r="A32" s="36" t="s">
        <v>85</v>
      </c>
      <c r="B32" s="36" t="s">
        <v>103</v>
      </c>
      <c r="C32" s="36" t="s">
        <v>121</v>
      </c>
      <c r="D32" s="37">
        <v>2000</v>
      </c>
      <c r="E32" s="37">
        <v>395</v>
      </c>
      <c r="F32" s="37">
        <v>710.33999999999992</v>
      </c>
      <c r="G32" s="37">
        <v>200</v>
      </c>
      <c r="H32" s="37">
        <f>SUM(D32:G32)</f>
        <v>3305.34</v>
      </c>
      <c r="I32" s="15" t="s">
        <v>37</v>
      </c>
    </row>
    <row r="33" spans="1:9" x14ac:dyDescent="0.25">
      <c r="A33" s="36" t="s">
        <v>86</v>
      </c>
      <c r="B33" s="36" t="s">
        <v>103</v>
      </c>
      <c r="C33" s="36" t="s">
        <v>27</v>
      </c>
      <c r="D33" s="37">
        <v>3800</v>
      </c>
      <c r="E33" s="37">
        <v>750.5</v>
      </c>
      <c r="F33" s="37">
        <v>1065.8399999999999</v>
      </c>
      <c r="G33" s="37">
        <v>200</v>
      </c>
      <c r="H33" s="37">
        <f>SUM(D33:G33)</f>
        <v>5816.34</v>
      </c>
      <c r="I33" s="14" t="s">
        <v>34</v>
      </c>
    </row>
    <row r="34" spans="1:9" x14ac:dyDescent="0.25">
      <c r="A34" s="36" t="s">
        <v>89</v>
      </c>
      <c r="B34" s="36" t="s">
        <v>103</v>
      </c>
      <c r="C34" s="36" t="s">
        <v>27</v>
      </c>
      <c r="D34" s="37">
        <v>4650</v>
      </c>
      <c r="E34" s="37">
        <v>918.375</v>
      </c>
      <c r="F34" s="37">
        <v>1233.7149999999999</v>
      </c>
      <c r="G34" s="37">
        <v>200</v>
      </c>
      <c r="H34" s="37">
        <f>SUM(D34:G34)</f>
        <v>7002.09</v>
      </c>
      <c r="I34" s="14" t="s">
        <v>34</v>
      </c>
    </row>
    <row r="35" spans="1:9" x14ac:dyDescent="0.25">
      <c r="A35" s="36" t="s">
        <v>96</v>
      </c>
      <c r="B35" s="36" t="s">
        <v>103</v>
      </c>
      <c r="C35" s="36" t="s">
        <v>120</v>
      </c>
      <c r="D35" s="37">
        <v>1800</v>
      </c>
      <c r="E35" s="37">
        <v>355.5</v>
      </c>
      <c r="F35" s="37">
        <v>670.83999999999992</v>
      </c>
      <c r="G35" s="37">
        <v>200</v>
      </c>
      <c r="H35" s="37">
        <f>SUM(D35:G35)</f>
        <v>3026.34</v>
      </c>
      <c r="I35" s="14" t="s">
        <v>34</v>
      </c>
    </row>
    <row r="36" spans="1:9" x14ac:dyDescent="0.25">
      <c r="A36" s="36" t="s">
        <v>90</v>
      </c>
      <c r="B36" s="36" t="s">
        <v>103</v>
      </c>
      <c r="C36" s="36" t="s">
        <v>120</v>
      </c>
      <c r="D36" s="37">
        <v>3000</v>
      </c>
      <c r="E36" s="37">
        <v>592.5</v>
      </c>
      <c r="F36" s="37">
        <v>907.83999999999992</v>
      </c>
      <c r="G36" s="37">
        <v>200</v>
      </c>
      <c r="H36" s="37">
        <f>SUM(D36:G36)</f>
        <v>4700.34</v>
      </c>
      <c r="I36" s="16" t="s">
        <v>36</v>
      </c>
    </row>
    <row r="37" spans="1:9" x14ac:dyDescent="0.25">
      <c r="A37" s="36" t="s">
        <v>84</v>
      </c>
      <c r="B37" s="36" t="s">
        <v>103</v>
      </c>
      <c r="C37" s="36" t="s">
        <v>27</v>
      </c>
      <c r="D37" s="37">
        <v>3000</v>
      </c>
      <c r="E37" s="37">
        <v>592.5</v>
      </c>
      <c r="F37" s="37">
        <v>907.83999999999992</v>
      </c>
      <c r="G37" s="37">
        <v>200</v>
      </c>
      <c r="H37" s="37">
        <f>SUM(D37:G37)</f>
        <v>4700.34</v>
      </c>
      <c r="I37" s="14" t="s">
        <v>34</v>
      </c>
    </row>
    <row r="38" spans="1:9" x14ac:dyDescent="0.25">
      <c r="A38" s="36" t="s">
        <v>99</v>
      </c>
      <c r="B38" s="36" t="s">
        <v>103</v>
      </c>
      <c r="C38" s="36" t="s">
        <v>121</v>
      </c>
      <c r="D38" s="37">
        <v>1800</v>
      </c>
      <c r="E38" s="37">
        <v>355.5</v>
      </c>
      <c r="F38" s="37">
        <v>670.83999999999992</v>
      </c>
      <c r="G38" s="37">
        <v>200</v>
      </c>
      <c r="H38" s="37">
        <f>SUM(D38:G38)</f>
        <v>3026.34</v>
      </c>
      <c r="I38" s="14" t="s">
        <v>34</v>
      </c>
    </row>
    <row r="39" spans="1:9" x14ac:dyDescent="0.25">
      <c r="A39" s="36" t="s">
        <v>98</v>
      </c>
      <c r="B39" s="36" t="s">
        <v>103</v>
      </c>
      <c r="C39" s="36" t="s">
        <v>121</v>
      </c>
      <c r="D39" s="37">
        <v>1500</v>
      </c>
      <c r="E39" s="37">
        <v>296.25</v>
      </c>
      <c r="F39" s="37">
        <v>611.58999999999992</v>
      </c>
      <c r="G39" s="37">
        <v>200</v>
      </c>
      <c r="H39" s="37">
        <f>SUM(D39:G39)</f>
        <v>2607.84</v>
      </c>
      <c r="I39" s="14" t="s">
        <v>34</v>
      </c>
    </row>
    <row r="40" spans="1:9" x14ac:dyDescent="0.25">
      <c r="A40" s="36" t="s">
        <v>91</v>
      </c>
      <c r="B40" s="36" t="s">
        <v>116</v>
      </c>
      <c r="C40" s="36" t="s">
        <v>120</v>
      </c>
      <c r="D40" s="37">
        <v>3000</v>
      </c>
      <c r="E40" s="37">
        <v>592.5</v>
      </c>
      <c r="F40" s="37">
        <v>907.83999999999992</v>
      </c>
      <c r="G40" s="37">
        <v>200</v>
      </c>
      <c r="H40" s="37">
        <f>SUM(D40:G40)</f>
        <v>4700.34</v>
      </c>
      <c r="I40" s="15" t="s">
        <v>37</v>
      </c>
    </row>
    <row r="41" spans="1:9" x14ac:dyDescent="0.25">
      <c r="A41" s="36" t="s">
        <v>88</v>
      </c>
      <c r="B41" s="36" t="s">
        <v>116</v>
      </c>
      <c r="C41" s="36" t="s">
        <v>120</v>
      </c>
      <c r="D41" s="37">
        <v>4000</v>
      </c>
      <c r="E41" s="37">
        <v>790</v>
      </c>
      <c r="F41" s="37">
        <v>1105.3399999999999</v>
      </c>
      <c r="G41" s="37">
        <v>200</v>
      </c>
      <c r="H41" s="37">
        <f>SUM(D41:G41)</f>
        <v>6095.34</v>
      </c>
      <c r="I41" s="16" t="s">
        <v>36</v>
      </c>
    </row>
    <row r="42" spans="1:9" x14ac:dyDescent="0.25">
      <c r="A42" s="36" t="s">
        <v>93</v>
      </c>
      <c r="B42" s="36" t="s">
        <v>116</v>
      </c>
      <c r="C42" s="36" t="s">
        <v>27</v>
      </c>
      <c r="D42" s="37">
        <v>6000</v>
      </c>
      <c r="E42" s="37">
        <v>1185</v>
      </c>
      <c r="F42" s="37">
        <v>1500.34</v>
      </c>
      <c r="G42" s="37">
        <v>200</v>
      </c>
      <c r="H42" s="37">
        <f>SUM(D42:G42)</f>
        <v>8885.34</v>
      </c>
      <c r="I42" s="14" t="s">
        <v>34</v>
      </c>
    </row>
    <row r="43" spans="1:9" x14ac:dyDescent="0.25">
      <c r="A43" s="36" t="s">
        <v>87</v>
      </c>
      <c r="B43" s="36" t="s">
        <v>116</v>
      </c>
      <c r="C43" s="36" t="s">
        <v>27</v>
      </c>
      <c r="D43" s="37">
        <v>4000</v>
      </c>
      <c r="E43" s="37">
        <v>790</v>
      </c>
      <c r="F43" s="37">
        <v>1105.3399999999999</v>
      </c>
      <c r="G43" s="37">
        <v>200</v>
      </c>
      <c r="H43" s="37">
        <f>SUM(D43:G43)</f>
        <v>6095.34</v>
      </c>
      <c r="I43" s="15" t="s">
        <v>37</v>
      </c>
    </row>
    <row r="44" spans="1:9" x14ac:dyDescent="0.25">
      <c r="A44" s="36" t="s">
        <v>97</v>
      </c>
      <c r="B44" s="36" t="s">
        <v>116</v>
      </c>
      <c r="C44" s="36" t="s">
        <v>121</v>
      </c>
      <c r="D44" s="37">
        <v>4500</v>
      </c>
      <c r="E44" s="37">
        <v>888.75</v>
      </c>
      <c r="F44" s="37">
        <v>1204.0899999999999</v>
      </c>
      <c r="G44" s="37">
        <v>200</v>
      </c>
      <c r="H44" s="37">
        <f>SUM(D44:G44)</f>
        <v>6792.84</v>
      </c>
      <c r="I44" s="16" t="s">
        <v>36</v>
      </c>
    </row>
    <row r="45" spans="1:9" x14ac:dyDescent="0.25">
      <c r="A45" s="36" t="s">
        <v>92</v>
      </c>
      <c r="B45" s="36" t="s">
        <v>116</v>
      </c>
      <c r="C45" s="36" t="s">
        <v>121</v>
      </c>
      <c r="D45" s="37">
        <v>4700</v>
      </c>
      <c r="E45" s="37">
        <v>928.25</v>
      </c>
      <c r="F45" s="37">
        <v>1243.5899999999999</v>
      </c>
      <c r="G45" s="37">
        <v>200</v>
      </c>
      <c r="H45" s="37">
        <f>SUM(D45:G45)</f>
        <v>7071.84</v>
      </c>
      <c r="I45" s="15" t="s">
        <v>37</v>
      </c>
    </row>
    <row r="46" spans="1:9" x14ac:dyDescent="0.25">
      <c r="A46" s="36" t="s">
        <v>95</v>
      </c>
      <c r="B46" s="36" t="s">
        <v>116</v>
      </c>
      <c r="C46" s="36" t="s">
        <v>27</v>
      </c>
      <c r="D46" s="37">
        <v>3900</v>
      </c>
      <c r="E46" s="37">
        <v>770.25</v>
      </c>
      <c r="F46" s="37">
        <v>1085.5899999999999</v>
      </c>
      <c r="G46" s="37">
        <v>200</v>
      </c>
      <c r="H46" s="37">
        <f>SUM(D46:G46)</f>
        <v>5955.84</v>
      </c>
      <c r="I46" s="15" t="s">
        <v>37</v>
      </c>
    </row>
    <row r="47" spans="1:9" x14ac:dyDescent="0.25">
      <c r="A47" s="36" t="s">
        <v>94</v>
      </c>
      <c r="B47" s="36" t="s">
        <v>116</v>
      </c>
      <c r="C47" s="36" t="s">
        <v>120</v>
      </c>
      <c r="D47" s="37">
        <v>5100</v>
      </c>
      <c r="E47" s="37">
        <v>1007.25</v>
      </c>
      <c r="F47" s="37">
        <v>1322.59</v>
      </c>
      <c r="G47" s="37">
        <v>200</v>
      </c>
      <c r="H47" s="37">
        <f>SUM(D47:G47)</f>
        <v>7629.84</v>
      </c>
      <c r="I47" s="15" t="s">
        <v>37</v>
      </c>
    </row>
    <row r="48" spans="1:9" x14ac:dyDescent="0.25">
      <c r="A48" s="36" t="s">
        <v>85</v>
      </c>
      <c r="B48" s="36" t="s">
        <v>116</v>
      </c>
      <c r="C48" s="36" t="s">
        <v>121</v>
      </c>
      <c r="D48" s="37">
        <v>2000</v>
      </c>
      <c r="E48" s="37">
        <v>395</v>
      </c>
      <c r="F48" s="37">
        <v>710.33999999999992</v>
      </c>
      <c r="G48" s="37">
        <v>200</v>
      </c>
      <c r="H48" s="37">
        <f>SUM(D48:G48)</f>
        <v>3305.34</v>
      </c>
      <c r="I48" s="15" t="s">
        <v>37</v>
      </c>
    </row>
    <row r="49" spans="1:9" x14ac:dyDescent="0.25">
      <c r="A49" s="36" t="s">
        <v>86</v>
      </c>
      <c r="B49" s="36" t="s">
        <v>116</v>
      </c>
      <c r="C49" s="36" t="s">
        <v>27</v>
      </c>
      <c r="D49" s="37">
        <v>3800</v>
      </c>
      <c r="E49" s="37">
        <v>750.5</v>
      </c>
      <c r="F49" s="37">
        <v>1065.8399999999999</v>
      </c>
      <c r="G49" s="37">
        <v>200</v>
      </c>
      <c r="H49" s="37">
        <f>SUM(D49:G49)</f>
        <v>5816.34</v>
      </c>
      <c r="I49" s="16" t="s">
        <v>36</v>
      </c>
    </row>
    <row r="50" spans="1:9" x14ac:dyDescent="0.25">
      <c r="A50" s="36" t="s">
        <v>89</v>
      </c>
      <c r="B50" s="36" t="s">
        <v>116</v>
      </c>
      <c r="C50" s="36" t="s">
        <v>27</v>
      </c>
      <c r="D50" s="37">
        <v>4650</v>
      </c>
      <c r="E50" s="37">
        <v>918.375</v>
      </c>
      <c r="F50" s="37">
        <v>1233.7149999999999</v>
      </c>
      <c r="G50" s="37">
        <v>200</v>
      </c>
      <c r="H50" s="37">
        <f>SUM(D50:G50)</f>
        <v>7002.09</v>
      </c>
      <c r="I50" s="15" t="s">
        <v>37</v>
      </c>
    </row>
    <row r="51" spans="1:9" x14ac:dyDescent="0.25">
      <c r="A51" s="36" t="s">
        <v>96</v>
      </c>
      <c r="B51" s="36" t="s">
        <v>116</v>
      </c>
      <c r="C51" s="36" t="s">
        <v>120</v>
      </c>
      <c r="D51" s="37">
        <v>1800</v>
      </c>
      <c r="E51" s="37">
        <v>355.5</v>
      </c>
      <c r="F51" s="37">
        <v>670.83999999999992</v>
      </c>
      <c r="G51" s="37">
        <v>200</v>
      </c>
      <c r="H51" s="37">
        <f>SUM(D51:G51)</f>
        <v>3026.34</v>
      </c>
      <c r="I51" s="16" t="s">
        <v>36</v>
      </c>
    </row>
    <row r="52" spans="1:9" x14ac:dyDescent="0.25">
      <c r="A52" s="36" t="s">
        <v>90</v>
      </c>
      <c r="B52" s="36" t="s">
        <v>116</v>
      </c>
      <c r="C52" s="36" t="s">
        <v>120</v>
      </c>
      <c r="D52" s="37">
        <v>3000</v>
      </c>
      <c r="E52" s="37">
        <v>592.5</v>
      </c>
      <c r="F52" s="37">
        <v>907.83999999999992</v>
      </c>
      <c r="G52" s="37">
        <v>200</v>
      </c>
      <c r="H52" s="37">
        <f>SUM(D52:G52)</f>
        <v>4700.34</v>
      </c>
      <c r="I52" s="14" t="s">
        <v>34</v>
      </c>
    </row>
    <row r="53" spans="1:9" x14ac:dyDescent="0.25">
      <c r="A53" s="36" t="s">
        <v>84</v>
      </c>
      <c r="B53" s="36" t="s">
        <v>116</v>
      </c>
      <c r="C53" s="36" t="s">
        <v>27</v>
      </c>
      <c r="D53" s="37">
        <v>3000</v>
      </c>
      <c r="E53" s="37">
        <v>592.5</v>
      </c>
      <c r="F53" s="37">
        <v>907.83999999999992</v>
      </c>
      <c r="G53" s="37">
        <v>200</v>
      </c>
      <c r="H53" s="37">
        <f>SUM(D53:G53)</f>
        <v>4700.34</v>
      </c>
      <c r="I53" s="14" t="s">
        <v>34</v>
      </c>
    </row>
    <row r="54" spans="1:9" x14ac:dyDescent="0.25">
      <c r="A54" s="36" t="s">
        <v>99</v>
      </c>
      <c r="B54" s="36" t="s">
        <v>116</v>
      </c>
      <c r="C54" s="36" t="s">
        <v>121</v>
      </c>
      <c r="D54" s="37">
        <v>1800</v>
      </c>
      <c r="E54" s="37">
        <v>355.5</v>
      </c>
      <c r="F54" s="37">
        <v>670.83999999999992</v>
      </c>
      <c r="G54" s="37">
        <v>200</v>
      </c>
      <c r="H54" s="37">
        <f>SUM(D54:G54)</f>
        <v>3026.34</v>
      </c>
      <c r="I54" s="15" t="s">
        <v>37</v>
      </c>
    </row>
    <row r="55" spans="1:9" x14ac:dyDescent="0.25">
      <c r="A55" s="36" t="s">
        <v>98</v>
      </c>
      <c r="B55" s="36" t="s">
        <v>116</v>
      </c>
      <c r="C55" s="36" t="s">
        <v>121</v>
      </c>
      <c r="D55" s="37">
        <v>1500</v>
      </c>
      <c r="E55" s="37">
        <v>296.25</v>
      </c>
      <c r="F55" s="37">
        <v>611.58999999999992</v>
      </c>
      <c r="G55" s="37">
        <v>200</v>
      </c>
      <c r="H55" s="37">
        <f>SUM(D55:G55)</f>
        <v>2607.84</v>
      </c>
      <c r="I55" s="15" t="s">
        <v>37</v>
      </c>
    </row>
    <row r="56" spans="1:9" x14ac:dyDescent="0.25">
      <c r="A56" s="36" t="s">
        <v>91</v>
      </c>
      <c r="B56" s="36" t="s">
        <v>114</v>
      </c>
      <c r="C56" s="36" t="s">
        <v>120</v>
      </c>
      <c r="D56" s="37">
        <v>3000</v>
      </c>
      <c r="E56" s="37">
        <v>592.5</v>
      </c>
      <c r="F56" s="37">
        <v>907.83999999999992</v>
      </c>
      <c r="G56" s="37">
        <v>200</v>
      </c>
      <c r="H56" s="37">
        <f>SUM(D56:G56)</f>
        <v>4700.34</v>
      </c>
      <c r="I56" s="14" t="s">
        <v>34</v>
      </c>
    </row>
    <row r="57" spans="1:9" x14ac:dyDescent="0.25">
      <c r="A57" s="36" t="s">
        <v>88</v>
      </c>
      <c r="B57" s="36" t="s">
        <v>114</v>
      </c>
      <c r="C57" s="36" t="s">
        <v>120</v>
      </c>
      <c r="D57" s="37">
        <v>4000</v>
      </c>
      <c r="E57" s="37">
        <v>790</v>
      </c>
      <c r="F57" s="37">
        <v>1105.3399999999999</v>
      </c>
      <c r="G57" s="37">
        <v>200</v>
      </c>
      <c r="H57" s="37">
        <f>SUM(D57:G57)</f>
        <v>6095.34</v>
      </c>
      <c r="I57" s="15" t="s">
        <v>37</v>
      </c>
    </row>
    <row r="58" spans="1:9" x14ac:dyDescent="0.25">
      <c r="A58" s="36" t="s">
        <v>93</v>
      </c>
      <c r="B58" s="36" t="s">
        <v>114</v>
      </c>
      <c r="C58" s="36" t="s">
        <v>27</v>
      </c>
      <c r="D58" s="37">
        <v>6000</v>
      </c>
      <c r="E58" s="37">
        <v>1185</v>
      </c>
      <c r="F58" s="37">
        <v>1500.34</v>
      </c>
      <c r="G58" s="37">
        <v>200</v>
      </c>
      <c r="H58" s="37">
        <f>SUM(D58:G58)</f>
        <v>8885.34</v>
      </c>
      <c r="I58" s="16" t="s">
        <v>36</v>
      </c>
    </row>
    <row r="59" spans="1:9" x14ac:dyDescent="0.25">
      <c r="A59" s="36" t="s">
        <v>87</v>
      </c>
      <c r="B59" s="36" t="s">
        <v>114</v>
      </c>
      <c r="C59" s="36" t="s">
        <v>27</v>
      </c>
      <c r="D59" s="37">
        <v>4000</v>
      </c>
      <c r="E59" s="37">
        <v>790</v>
      </c>
      <c r="F59" s="37">
        <v>1105.3399999999999</v>
      </c>
      <c r="G59" s="37">
        <v>200</v>
      </c>
      <c r="H59" s="37">
        <f>SUM(D59:G59)</f>
        <v>6095.34</v>
      </c>
      <c r="I59" s="14" t="s">
        <v>34</v>
      </c>
    </row>
    <row r="60" spans="1:9" x14ac:dyDescent="0.25">
      <c r="A60" s="36" t="s">
        <v>97</v>
      </c>
      <c r="B60" s="36" t="s">
        <v>114</v>
      </c>
      <c r="C60" s="36" t="s">
        <v>121</v>
      </c>
      <c r="D60" s="37">
        <v>4500</v>
      </c>
      <c r="E60" s="37">
        <v>888.75</v>
      </c>
      <c r="F60" s="37">
        <v>1204.0899999999999</v>
      </c>
      <c r="G60" s="37">
        <v>200</v>
      </c>
      <c r="H60" s="37">
        <f>SUM(D60:G60)</f>
        <v>6792.84</v>
      </c>
      <c r="I60" s="16" t="s">
        <v>36</v>
      </c>
    </row>
    <row r="61" spans="1:9" x14ac:dyDescent="0.25">
      <c r="A61" s="36" t="s">
        <v>92</v>
      </c>
      <c r="B61" s="36" t="s">
        <v>114</v>
      </c>
      <c r="C61" s="36" t="s">
        <v>121</v>
      </c>
      <c r="D61" s="37">
        <v>4700</v>
      </c>
      <c r="E61" s="37">
        <v>928.25</v>
      </c>
      <c r="F61" s="37">
        <v>1243.5899999999999</v>
      </c>
      <c r="G61" s="37">
        <v>200</v>
      </c>
      <c r="H61" s="37">
        <f>SUM(D61:G61)</f>
        <v>7071.84</v>
      </c>
      <c r="I61" s="16" t="s">
        <v>36</v>
      </c>
    </row>
    <row r="62" spans="1:9" x14ac:dyDescent="0.25">
      <c r="A62" s="36" t="s">
        <v>95</v>
      </c>
      <c r="B62" s="36" t="s">
        <v>114</v>
      </c>
      <c r="C62" s="36" t="s">
        <v>27</v>
      </c>
      <c r="D62" s="37">
        <v>3900</v>
      </c>
      <c r="E62" s="37">
        <v>770.25</v>
      </c>
      <c r="F62" s="37">
        <v>1085.5899999999999</v>
      </c>
      <c r="G62" s="37">
        <v>200</v>
      </c>
      <c r="H62" s="37">
        <f>SUM(D62:G62)</f>
        <v>5955.84</v>
      </c>
      <c r="I62" s="15" t="s">
        <v>37</v>
      </c>
    </row>
    <row r="63" spans="1:9" x14ac:dyDescent="0.25">
      <c r="A63" s="36" t="s">
        <v>94</v>
      </c>
      <c r="B63" s="36" t="s">
        <v>114</v>
      </c>
      <c r="C63" s="36" t="s">
        <v>120</v>
      </c>
      <c r="D63" s="37">
        <v>5100</v>
      </c>
      <c r="E63" s="37">
        <v>1007.25</v>
      </c>
      <c r="F63" s="37">
        <v>1322.59</v>
      </c>
      <c r="G63" s="37">
        <v>200</v>
      </c>
      <c r="H63" s="37">
        <f>SUM(D63:G63)</f>
        <v>7629.84</v>
      </c>
      <c r="I63" s="16" t="s">
        <v>36</v>
      </c>
    </row>
    <row r="64" spans="1:9" x14ac:dyDescent="0.25">
      <c r="A64" s="36" t="s">
        <v>85</v>
      </c>
      <c r="B64" s="36" t="s">
        <v>114</v>
      </c>
      <c r="C64" s="36" t="s">
        <v>121</v>
      </c>
      <c r="D64" s="37">
        <v>2000</v>
      </c>
      <c r="E64" s="37">
        <v>395</v>
      </c>
      <c r="F64" s="37">
        <v>710.33999999999992</v>
      </c>
      <c r="G64" s="37">
        <v>200</v>
      </c>
      <c r="H64" s="37">
        <f>SUM(D64:G64)</f>
        <v>3305.34</v>
      </c>
      <c r="I64" s="15" t="s">
        <v>37</v>
      </c>
    </row>
    <row r="65" spans="1:9" x14ac:dyDescent="0.25">
      <c r="A65" s="36" t="s">
        <v>86</v>
      </c>
      <c r="B65" s="36" t="s">
        <v>114</v>
      </c>
      <c r="C65" s="36" t="s">
        <v>27</v>
      </c>
      <c r="D65" s="37">
        <v>3800</v>
      </c>
      <c r="E65" s="37">
        <v>750.5</v>
      </c>
      <c r="F65" s="37">
        <v>1065.8399999999999</v>
      </c>
      <c r="G65" s="37">
        <v>200</v>
      </c>
      <c r="H65" s="37">
        <f>SUM(D65:G65)</f>
        <v>5816.34</v>
      </c>
      <c r="I65" s="15" t="s">
        <v>37</v>
      </c>
    </row>
    <row r="66" spans="1:9" x14ac:dyDescent="0.25">
      <c r="A66" s="36" t="s">
        <v>89</v>
      </c>
      <c r="B66" s="36" t="s">
        <v>114</v>
      </c>
      <c r="C66" s="36" t="s">
        <v>27</v>
      </c>
      <c r="D66" s="37">
        <v>4650</v>
      </c>
      <c r="E66" s="37">
        <v>918.375</v>
      </c>
      <c r="F66" s="37">
        <v>1233.7149999999999</v>
      </c>
      <c r="G66" s="37">
        <v>200</v>
      </c>
      <c r="H66" s="37">
        <f>SUM(D66:G66)</f>
        <v>7002.09</v>
      </c>
      <c r="I66" s="16" t="s">
        <v>36</v>
      </c>
    </row>
    <row r="67" spans="1:9" x14ac:dyDescent="0.25">
      <c r="A67" s="36" t="s">
        <v>96</v>
      </c>
      <c r="B67" s="36" t="s">
        <v>114</v>
      </c>
      <c r="C67" s="36" t="s">
        <v>120</v>
      </c>
      <c r="D67" s="37">
        <v>1800</v>
      </c>
      <c r="E67" s="37">
        <v>355.5</v>
      </c>
      <c r="F67" s="37">
        <v>670.83999999999992</v>
      </c>
      <c r="G67" s="37">
        <v>200</v>
      </c>
      <c r="H67" s="37">
        <f>SUM(D67:G67)</f>
        <v>3026.34</v>
      </c>
      <c r="I67" s="15" t="s">
        <v>37</v>
      </c>
    </row>
    <row r="68" spans="1:9" x14ac:dyDescent="0.25">
      <c r="A68" s="36" t="s">
        <v>90</v>
      </c>
      <c r="B68" s="36" t="s">
        <v>114</v>
      </c>
      <c r="C68" s="36" t="s">
        <v>120</v>
      </c>
      <c r="D68" s="37">
        <v>3000</v>
      </c>
      <c r="E68" s="37">
        <v>592.5</v>
      </c>
      <c r="F68" s="37">
        <v>907.83999999999992</v>
      </c>
      <c r="G68" s="37">
        <v>200</v>
      </c>
      <c r="H68" s="37">
        <f>SUM(D68:G68)</f>
        <v>4700.34</v>
      </c>
      <c r="I68" s="16" t="s">
        <v>36</v>
      </c>
    </row>
    <row r="69" spans="1:9" x14ac:dyDescent="0.25">
      <c r="A69" s="36" t="s">
        <v>84</v>
      </c>
      <c r="B69" s="36" t="s">
        <v>114</v>
      </c>
      <c r="C69" s="36" t="s">
        <v>27</v>
      </c>
      <c r="D69" s="37">
        <v>3000</v>
      </c>
      <c r="E69" s="37">
        <v>592.5</v>
      </c>
      <c r="F69" s="37">
        <v>907.83999999999992</v>
      </c>
      <c r="G69" s="37">
        <v>200</v>
      </c>
      <c r="H69" s="37">
        <f>SUM(D69:G69)</f>
        <v>4700.34</v>
      </c>
      <c r="I69" s="14" t="s">
        <v>34</v>
      </c>
    </row>
    <row r="70" spans="1:9" x14ac:dyDescent="0.25">
      <c r="A70" s="36" t="s">
        <v>99</v>
      </c>
      <c r="B70" s="36" t="s">
        <v>114</v>
      </c>
      <c r="C70" s="36" t="s">
        <v>121</v>
      </c>
      <c r="D70" s="37">
        <v>1800</v>
      </c>
      <c r="E70" s="37">
        <v>355.5</v>
      </c>
      <c r="F70" s="37">
        <v>670.83999999999992</v>
      </c>
      <c r="G70" s="37">
        <v>200</v>
      </c>
      <c r="H70" s="37">
        <f>SUM(D70:G70)</f>
        <v>3026.34</v>
      </c>
      <c r="I70" s="16" t="s">
        <v>36</v>
      </c>
    </row>
    <row r="71" spans="1:9" x14ac:dyDescent="0.25">
      <c r="A71" s="36" t="s">
        <v>98</v>
      </c>
      <c r="B71" s="36" t="s">
        <v>114</v>
      </c>
      <c r="C71" s="36" t="s">
        <v>121</v>
      </c>
      <c r="D71" s="37">
        <v>1500</v>
      </c>
      <c r="E71" s="37">
        <v>296.25</v>
      </c>
      <c r="F71" s="37">
        <v>611.58999999999992</v>
      </c>
      <c r="G71" s="37">
        <v>200</v>
      </c>
      <c r="H71" s="37">
        <f>SUM(D71:G71)</f>
        <v>2607.84</v>
      </c>
      <c r="I71" s="16" t="s">
        <v>36</v>
      </c>
    </row>
    <row r="72" spans="1:9" x14ac:dyDescent="0.25">
      <c r="A72" s="36" t="s">
        <v>91</v>
      </c>
      <c r="B72" s="36" t="s">
        <v>101</v>
      </c>
      <c r="C72" s="36" t="s">
        <v>120</v>
      </c>
      <c r="D72" s="37">
        <v>3000</v>
      </c>
      <c r="E72" s="37">
        <v>592.5</v>
      </c>
      <c r="F72" s="37">
        <v>907.83999999999992</v>
      </c>
      <c r="G72" s="37">
        <v>200</v>
      </c>
      <c r="H72" s="37">
        <f>SUM(D72:G72)</f>
        <v>4700.34</v>
      </c>
      <c r="I72" s="14" t="s">
        <v>34</v>
      </c>
    </row>
    <row r="73" spans="1:9" x14ac:dyDescent="0.25">
      <c r="A73" s="36" t="s">
        <v>88</v>
      </c>
      <c r="B73" s="36" t="s">
        <v>101</v>
      </c>
      <c r="C73" s="36" t="s">
        <v>120</v>
      </c>
      <c r="D73" s="37">
        <v>4000</v>
      </c>
      <c r="E73" s="37">
        <v>790</v>
      </c>
      <c r="F73" s="37">
        <v>1105.3399999999999</v>
      </c>
      <c r="G73" s="37">
        <v>200</v>
      </c>
      <c r="H73" s="37">
        <f>SUM(D73:G73)</f>
        <v>6095.34</v>
      </c>
      <c r="I73" s="15" t="s">
        <v>37</v>
      </c>
    </row>
    <row r="74" spans="1:9" x14ac:dyDescent="0.25">
      <c r="A74" s="36" t="s">
        <v>93</v>
      </c>
      <c r="B74" s="36" t="s">
        <v>101</v>
      </c>
      <c r="C74" s="36" t="s">
        <v>27</v>
      </c>
      <c r="D74" s="37">
        <v>6000</v>
      </c>
      <c r="E74" s="37">
        <v>1185</v>
      </c>
      <c r="F74" s="37">
        <v>1500.34</v>
      </c>
      <c r="G74" s="37">
        <v>200</v>
      </c>
      <c r="H74" s="37">
        <f>SUM(D74:G74)</f>
        <v>8885.34</v>
      </c>
      <c r="I74" s="16" t="s">
        <v>36</v>
      </c>
    </row>
    <row r="75" spans="1:9" x14ac:dyDescent="0.25">
      <c r="A75" s="36" t="s">
        <v>87</v>
      </c>
      <c r="B75" s="36" t="s">
        <v>101</v>
      </c>
      <c r="C75" s="36" t="s">
        <v>27</v>
      </c>
      <c r="D75" s="37">
        <v>4000</v>
      </c>
      <c r="E75" s="37">
        <v>790</v>
      </c>
      <c r="F75" s="37">
        <v>1105.3399999999999</v>
      </c>
      <c r="G75" s="37">
        <v>200</v>
      </c>
      <c r="H75" s="37">
        <f>SUM(D75:G75)</f>
        <v>6095.34</v>
      </c>
      <c r="I75" s="14" t="s">
        <v>34</v>
      </c>
    </row>
    <row r="76" spans="1:9" x14ac:dyDescent="0.25">
      <c r="A76" s="36" t="s">
        <v>97</v>
      </c>
      <c r="B76" s="36" t="s">
        <v>101</v>
      </c>
      <c r="C76" s="36" t="s">
        <v>121</v>
      </c>
      <c r="D76" s="37">
        <v>4500</v>
      </c>
      <c r="E76" s="37">
        <v>888.75</v>
      </c>
      <c r="F76" s="37">
        <v>1204.0899999999999</v>
      </c>
      <c r="G76" s="37">
        <v>200</v>
      </c>
      <c r="H76" s="37">
        <f>SUM(D76:G76)</f>
        <v>6792.84</v>
      </c>
      <c r="I76" s="14" t="s">
        <v>34</v>
      </c>
    </row>
    <row r="77" spans="1:9" x14ac:dyDescent="0.25">
      <c r="A77" s="36" t="s">
        <v>92</v>
      </c>
      <c r="B77" s="36" t="s">
        <v>101</v>
      </c>
      <c r="C77" s="36" t="s">
        <v>121</v>
      </c>
      <c r="D77" s="37">
        <v>4700</v>
      </c>
      <c r="E77" s="37">
        <v>928.25</v>
      </c>
      <c r="F77" s="37">
        <v>1243.5899999999999</v>
      </c>
      <c r="G77" s="37">
        <v>200</v>
      </c>
      <c r="H77" s="37">
        <f>SUM(D77:G77)</f>
        <v>7071.84</v>
      </c>
      <c r="I77" s="14" t="s">
        <v>34</v>
      </c>
    </row>
    <row r="78" spans="1:9" x14ac:dyDescent="0.25">
      <c r="A78" s="36" t="s">
        <v>95</v>
      </c>
      <c r="B78" s="36" t="s">
        <v>101</v>
      </c>
      <c r="C78" s="36" t="s">
        <v>27</v>
      </c>
      <c r="D78" s="37">
        <v>3900</v>
      </c>
      <c r="E78" s="37">
        <v>770.25</v>
      </c>
      <c r="F78" s="37">
        <v>1085.5899999999999</v>
      </c>
      <c r="G78" s="37">
        <v>200</v>
      </c>
      <c r="H78" s="37">
        <f>SUM(D78:G78)</f>
        <v>5955.84</v>
      </c>
      <c r="I78" s="15" t="s">
        <v>37</v>
      </c>
    </row>
    <row r="79" spans="1:9" x14ac:dyDescent="0.25">
      <c r="A79" s="36" t="s">
        <v>94</v>
      </c>
      <c r="B79" s="36" t="s">
        <v>101</v>
      </c>
      <c r="C79" s="36" t="s">
        <v>120</v>
      </c>
      <c r="D79" s="37">
        <v>5100</v>
      </c>
      <c r="E79" s="37">
        <v>1007.25</v>
      </c>
      <c r="F79" s="37">
        <v>1322.59</v>
      </c>
      <c r="G79" s="37">
        <v>200</v>
      </c>
      <c r="H79" s="37">
        <f>SUM(D79:G79)</f>
        <v>7629.84</v>
      </c>
      <c r="I79" s="14" t="s">
        <v>34</v>
      </c>
    </row>
    <row r="80" spans="1:9" x14ac:dyDescent="0.25">
      <c r="A80" s="36" t="s">
        <v>85</v>
      </c>
      <c r="B80" s="36" t="s">
        <v>101</v>
      </c>
      <c r="C80" s="36" t="s">
        <v>121</v>
      </c>
      <c r="D80" s="37">
        <v>2000</v>
      </c>
      <c r="E80" s="37">
        <v>395</v>
      </c>
      <c r="F80" s="37">
        <v>710.33999999999992</v>
      </c>
      <c r="G80" s="37">
        <v>200</v>
      </c>
      <c r="H80" s="37">
        <f>SUM(D80:G80)</f>
        <v>3305.34</v>
      </c>
      <c r="I80" s="15" t="s">
        <v>37</v>
      </c>
    </row>
    <row r="81" spans="1:9" x14ac:dyDescent="0.25">
      <c r="A81" s="36" t="s">
        <v>86</v>
      </c>
      <c r="B81" s="36" t="s">
        <v>101</v>
      </c>
      <c r="C81" s="36" t="s">
        <v>27</v>
      </c>
      <c r="D81" s="37">
        <v>3800</v>
      </c>
      <c r="E81" s="37">
        <v>750.5</v>
      </c>
      <c r="F81" s="37">
        <v>1065.8399999999999</v>
      </c>
      <c r="G81" s="37">
        <v>200</v>
      </c>
      <c r="H81" s="37">
        <f>SUM(D81:G81)</f>
        <v>5816.34</v>
      </c>
      <c r="I81" s="15" t="s">
        <v>37</v>
      </c>
    </row>
    <row r="82" spans="1:9" x14ac:dyDescent="0.25">
      <c r="A82" s="36" t="s">
        <v>89</v>
      </c>
      <c r="B82" s="36" t="s">
        <v>101</v>
      </c>
      <c r="C82" s="36" t="s">
        <v>27</v>
      </c>
      <c r="D82" s="37">
        <v>4650</v>
      </c>
      <c r="E82" s="37">
        <v>918.375</v>
      </c>
      <c r="F82" s="37">
        <v>1233.7149999999999</v>
      </c>
      <c r="G82" s="37">
        <v>200</v>
      </c>
      <c r="H82" s="37">
        <f>SUM(D82:G82)</f>
        <v>7002.09</v>
      </c>
      <c r="I82" s="16" t="s">
        <v>36</v>
      </c>
    </row>
    <row r="83" spans="1:9" x14ac:dyDescent="0.25">
      <c r="A83" s="36" t="s">
        <v>96</v>
      </c>
      <c r="B83" s="36" t="s">
        <v>101</v>
      </c>
      <c r="C83" s="36" t="s">
        <v>120</v>
      </c>
      <c r="D83" s="37">
        <v>1800</v>
      </c>
      <c r="E83" s="37">
        <v>355.5</v>
      </c>
      <c r="F83" s="37">
        <v>670.83999999999992</v>
      </c>
      <c r="G83" s="37">
        <v>200</v>
      </c>
      <c r="H83" s="37">
        <f>SUM(D83:G83)</f>
        <v>3026.34</v>
      </c>
      <c r="I83" s="15" t="s">
        <v>37</v>
      </c>
    </row>
    <row r="84" spans="1:9" x14ac:dyDescent="0.25">
      <c r="A84" s="36" t="s">
        <v>90</v>
      </c>
      <c r="B84" s="36" t="s">
        <v>101</v>
      </c>
      <c r="C84" s="36" t="s">
        <v>120</v>
      </c>
      <c r="D84" s="37">
        <v>3000</v>
      </c>
      <c r="E84" s="37">
        <v>592.5</v>
      </c>
      <c r="F84" s="37">
        <v>907.83999999999992</v>
      </c>
      <c r="G84" s="37">
        <v>200</v>
      </c>
      <c r="H84" s="37">
        <f>SUM(D84:G84)</f>
        <v>4700.34</v>
      </c>
      <c r="I84" s="16" t="s">
        <v>36</v>
      </c>
    </row>
    <row r="85" spans="1:9" x14ac:dyDescent="0.25">
      <c r="A85" s="36" t="s">
        <v>84</v>
      </c>
      <c r="B85" s="36" t="s">
        <v>101</v>
      </c>
      <c r="C85" s="36" t="s">
        <v>27</v>
      </c>
      <c r="D85" s="37">
        <v>3000</v>
      </c>
      <c r="E85" s="37">
        <v>592.5</v>
      </c>
      <c r="F85" s="37">
        <v>907.83999999999992</v>
      </c>
      <c r="G85" s="37">
        <v>200</v>
      </c>
      <c r="H85" s="37">
        <f>SUM(D85:G85)</f>
        <v>4700.34</v>
      </c>
      <c r="I85" s="14" t="s">
        <v>34</v>
      </c>
    </row>
    <row r="86" spans="1:9" x14ac:dyDescent="0.25">
      <c r="A86" s="36" t="s">
        <v>99</v>
      </c>
      <c r="B86" s="36" t="s">
        <v>101</v>
      </c>
      <c r="C86" s="36" t="s">
        <v>121</v>
      </c>
      <c r="D86" s="37">
        <v>1800</v>
      </c>
      <c r="E86" s="37">
        <v>355.5</v>
      </c>
      <c r="F86" s="37">
        <v>670.83999999999992</v>
      </c>
      <c r="G86" s="37">
        <v>200</v>
      </c>
      <c r="H86" s="37">
        <f>SUM(D86:G86)</f>
        <v>3026.34</v>
      </c>
      <c r="I86" s="14" t="s">
        <v>34</v>
      </c>
    </row>
    <row r="87" spans="1:9" x14ac:dyDescent="0.25">
      <c r="A87" s="36" t="s">
        <v>98</v>
      </c>
      <c r="B87" s="36" t="s">
        <v>101</v>
      </c>
      <c r="C87" s="36" t="s">
        <v>121</v>
      </c>
      <c r="D87" s="37">
        <v>1500</v>
      </c>
      <c r="E87" s="37">
        <v>296.25</v>
      </c>
      <c r="F87" s="37">
        <v>611.58999999999992</v>
      </c>
      <c r="G87" s="37">
        <v>200</v>
      </c>
      <c r="H87" s="37">
        <f>SUM(D87:G87)</f>
        <v>2607.84</v>
      </c>
      <c r="I87" s="14" t="s">
        <v>34</v>
      </c>
    </row>
    <row r="88" spans="1:9" x14ac:dyDescent="0.25">
      <c r="A88" s="36" t="s">
        <v>91</v>
      </c>
      <c r="B88" s="36" t="s">
        <v>106</v>
      </c>
      <c r="C88" s="36" t="s">
        <v>120</v>
      </c>
      <c r="D88" s="37">
        <v>3000</v>
      </c>
      <c r="E88" s="37">
        <v>592.5</v>
      </c>
      <c r="F88" s="37">
        <v>907.83999999999992</v>
      </c>
      <c r="G88" s="37">
        <v>200</v>
      </c>
      <c r="H88" s="37">
        <f>SUM(D88:G88)</f>
        <v>4700.34</v>
      </c>
      <c r="I88" s="14" t="s">
        <v>34</v>
      </c>
    </row>
    <row r="89" spans="1:9" x14ac:dyDescent="0.25">
      <c r="A89" s="36" t="s">
        <v>88</v>
      </c>
      <c r="B89" s="36" t="s">
        <v>106</v>
      </c>
      <c r="C89" s="36" t="s">
        <v>120</v>
      </c>
      <c r="D89" s="37">
        <v>4000</v>
      </c>
      <c r="E89" s="37">
        <v>790</v>
      </c>
      <c r="F89" s="37">
        <v>1105.3399999999999</v>
      </c>
      <c r="G89" s="37">
        <v>200</v>
      </c>
      <c r="H89" s="37">
        <f>SUM(D89:G89)</f>
        <v>6095.34</v>
      </c>
      <c r="I89" s="14" t="s">
        <v>34</v>
      </c>
    </row>
    <row r="90" spans="1:9" x14ac:dyDescent="0.25">
      <c r="A90" s="36" t="s">
        <v>93</v>
      </c>
      <c r="B90" s="36" t="s">
        <v>106</v>
      </c>
      <c r="C90" s="36" t="s">
        <v>27</v>
      </c>
      <c r="D90" s="37">
        <v>6000</v>
      </c>
      <c r="E90" s="37">
        <v>1185</v>
      </c>
      <c r="F90" s="37">
        <v>1500.34</v>
      </c>
      <c r="G90" s="37">
        <v>200</v>
      </c>
      <c r="H90" s="37">
        <f>SUM(D90:G90)</f>
        <v>8885.34</v>
      </c>
      <c r="I90" s="14" t="s">
        <v>34</v>
      </c>
    </row>
    <row r="91" spans="1:9" x14ac:dyDescent="0.25">
      <c r="A91" s="36" t="s">
        <v>87</v>
      </c>
      <c r="B91" s="36" t="s">
        <v>106</v>
      </c>
      <c r="C91" s="36" t="s">
        <v>27</v>
      </c>
      <c r="D91" s="37">
        <v>4000</v>
      </c>
      <c r="E91" s="37">
        <v>790</v>
      </c>
      <c r="F91" s="37">
        <v>1105.3399999999999</v>
      </c>
      <c r="G91" s="37">
        <v>200</v>
      </c>
      <c r="H91" s="37">
        <f>SUM(D91:G91)</f>
        <v>6095.34</v>
      </c>
      <c r="I91" s="14" t="s">
        <v>34</v>
      </c>
    </row>
    <row r="92" spans="1:9" x14ac:dyDescent="0.25">
      <c r="A92" s="36" t="s">
        <v>97</v>
      </c>
      <c r="B92" s="36" t="s">
        <v>106</v>
      </c>
      <c r="C92" s="36" t="s">
        <v>121</v>
      </c>
      <c r="D92" s="37">
        <v>4500</v>
      </c>
      <c r="E92" s="37">
        <v>888.75</v>
      </c>
      <c r="F92" s="37">
        <v>1204.0899999999999</v>
      </c>
      <c r="G92" s="37">
        <v>200</v>
      </c>
      <c r="H92" s="37">
        <f>SUM(D92:G92)</f>
        <v>6792.84</v>
      </c>
      <c r="I92" s="16" t="s">
        <v>36</v>
      </c>
    </row>
    <row r="93" spans="1:9" x14ac:dyDescent="0.25">
      <c r="A93" s="36" t="s">
        <v>92</v>
      </c>
      <c r="B93" s="36" t="s">
        <v>106</v>
      </c>
      <c r="C93" s="36" t="s">
        <v>121</v>
      </c>
      <c r="D93" s="37">
        <v>4700</v>
      </c>
      <c r="E93" s="37">
        <v>928.25</v>
      </c>
      <c r="F93" s="37">
        <v>1243.5899999999999</v>
      </c>
      <c r="G93" s="37">
        <v>200</v>
      </c>
      <c r="H93" s="37">
        <f>SUM(D93:G93)</f>
        <v>7071.84</v>
      </c>
      <c r="I93" s="14" t="s">
        <v>34</v>
      </c>
    </row>
    <row r="94" spans="1:9" x14ac:dyDescent="0.25">
      <c r="A94" s="36" t="s">
        <v>95</v>
      </c>
      <c r="B94" s="36" t="s">
        <v>106</v>
      </c>
      <c r="C94" s="36" t="s">
        <v>27</v>
      </c>
      <c r="D94" s="37">
        <v>3900</v>
      </c>
      <c r="E94" s="37">
        <v>770.25</v>
      </c>
      <c r="F94" s="37">
        <v>1085.5899999999999</v>
      </c>
      <c r="G94" s="37">
        <v>200</v>
      </c>
      <c r="H94" s="37">
        <f>SUM(D94:G94)</f>
        <v>5955.84</v>
      </c>
      <c r="I94" s="15" t="s">
        <v>37</v>
      </c>
    </row>
    <row r="95" spans="1:9" x14ac:dyDescent="0.25">
      <c r="A95" s="36" t="s">
        <v>94</v>
      </c>
      <c r="B95" s="36" t="s">
        <v>106</v>
      </c>
      <c r="C95" s="36" t="s">
        <v>120</v>
      </c>
      <c r="D95" s="37">
        <v>5100</v>
      </c>
      <c r="E95" s="37">
        <v>1007.25</v>
      </c>
      <c r="F95" s="37">
        <v>1322.59</v>
      </c>
      <c r="G95" s="37">
        <v>200</v>
      </c>
      <c r="H95" s="37">
        <f>SUM(D95:G95)</f>
        <v>7629.84</v>
      </c>
      <c r="I95" s="14" t="s">
        <v>34</v>
      </c>
    </row>
    <row r="96" spans="1:9" x14ac:dyDescent="0.25">
      <c r="A96" s="36" t="s">
        <v>85</v>
      </c>
      <c r="B96" s="36" t="s">
        <v>106</v>
      </c>
      <c r="C96" s="36" t="s">
        <v>121</v>
      </c>
      <c r="D96" s="37">
        <v>2000</v>
      </c>
      <c r="E96" s="37">
        <v>395</v>
      </c>
      <c r="F96" s="37">
        <v>710.33999999999992</v>
      </c>
      <c r="G96" s="37">
        <v>200</v>
      </c>
      <c r="H96" s="37">
        <f>SUM(D96:G96)</f>
        <v>3305.34</v>
      </c>
      <c r="I96" s="15" t="s">
        <v>37</v>
      </c>
    </row>
    <row r="97" spans="1:9" x14ac:dyDescent="0.25">
      <c r="A97" s="36" t="s">
        <v>86</v>
      </c>
      <c r="B97" s="36" t="s">
        <v>106</v>
      </c>
      <c r="C97" s="36" t="s">
        <v>27</v>
      </c>
      <c r="D97" s="37">
        <v>3800</v>
      </c>
      <c r="E97" s="37">
        <v>750.5</v>
      </c>
      <c r="F97" s="37">
        <v>1065.8399999999999</v>
      </c>
      <c r="G97" s="37">
        <v>200</v>
      </c>
      <c r="H97" s="37">
        <f>SUM(D97:G97)</f>
        <v>5816.34</v>
      </c>
      <c r="I97" s="16" t="s">
        <v>36</v>
      </c>
    </row>
    <row r="98" spans="1:9" x14ac:dyDescent="0.25">
      <c r="A98" s="36" t="s">
        <v>89</v>
      </c>
      <c r="B98" s="36" t="s">
        <v>106</v>
      </c>
      <c r="C98" s="36" t="s">
        <v>27</v>
      </c>
      <c r="D98" s="37">
        <v>4650</v>
      </c>
      <c r="E98" s="37">
        <v>918.375</v>
      </c>
      <c r="F98" s="37">
        <v>1233.7149999999999</v>
      </c>
      <c r="G98" s="37">
        <v>200</v>
      </c>
      <c r="H98" s="37">
        <f>SUM(D98:G98)</f>
        <v>7002.09</v>
      </c>
      <c r="I98" s="14" t="s">
        <v>34</v>
      </c>
    </row>
    <row r="99" spans="1:9" x14ac:dyDescent="0.25">
      <c r="A99" s="36" t="s">
        <v>96</v>
      </c>
      <c r="B99" s="36" t="s">
        <v>106</v>
      </c>
      <c r="C99" s="36" t="s">
        <v>120</v>
      </c>
      <c r="D99" s="37">
        <v>1800</v>
      </c>
      <c r="E99" s="37">
        <v>355.5</v>
      </c>
      <c r="F99" s="37">
        <v>670.83999999999992</v>
      </c>
      <c r="G99" s="37">
        <v>200</v>
      </c>
      <c r="H99" s="37">
        <f>SUM(D99:G99)</f>
        <v>3026.34</v>
      </c>
      <c r="I99" s="14" t="s">
        <v>34</v>
      </c>
    </row>
    <row r="100" spans="1:9" x14ac:dyDescent="0.25">
      <c r="A100" s="36" t="s">
        <v>90</v>
      </c>
      <c r="B100" s="36" t="s">
        <v>106</v>
      </c>
      <c r="C100" s="36" t="s">
        <v>120</v>
      </c>
      <c r="D100" s="37">
        <v>3000</v>
      </c>
      <c r="E100" s="37">
        <v>592.5</v>
      </c>
      <c r="F100" s="37">
        <v>907.83999999999992</v>
      </c>
      <c r="G100" s="37">
        <v>200</v>
      </c>
      <c r="H100" s="37">
        <f>SUM(D100:G100)</f>
        <v>4700.34</v>
      </c>
      <c r="I100" s="16" t="s">
        <v>36</v>
      </c>
    </row>
    <row r="101" spans="1:9" x14ac:dyDescent="0.25">
      <c r="A101" s="36" t="s">
        <v>84</v>
      </c>
      <c r="B101" s="36" t="s">
        <v>106</v>
      </c>
      <c r="C101" s="36" t="s">
        <v>27</v>
      </c>
      <c r="D101" s="37">
        <v>3000</v>
      </c>
      <c r="E101" s="37">
        <v>592.5</v>
      </c>
      <c r="F101" s="37">
        <v>907.83999999999992</v>
      </c>
      <c r="G101" s="37">
        <v>200</v>
      </c>
      <c r="H101" s="37">
        <f>SUM(D101:G101)</f>
        <v>4700.34</v>
      </c>
      <c r="I101" s="14" t="s">
        <v>34</v>
      </c>
    </row>
    <row r="102" spans="1:9" x14ac:dyDescent="0.25">
      <c r="A102" s="36" t="s">
        <v>99</v>
      </c>
      <c r="B102" s="36" t="s">
        <v>106</v>
      </c>
      <c r="C102" s="36" t="s">
        <v>121</v>
      </c>
      <c r="D102" s="37">
        <v>1800</v>
      </c>
      <c r="E102" s="37">
        <v>355.5</v>
      </c>
      <c r="F102" s="37">
        <v>670.83999999999992</v>
      </c>
      <c r="G102" s="37">
        <v>200</v>
      </c>
      <c r="H102" s="37">
        <f>SUM(D102:G102)</f>
        <v>3026.34</v>
      </c>
      <c r="I102" s="15" t="s">
        <v>37</v>
      </c>
    </row>
    <row r="103" spans="1:9" x14ac:dyDescent="0.25">
      <c r="A103" s="36" t="s">
        <v>98</v>
      </c>
      <c r="B103" s="36" t="s">
        <v>106</v>
      </c>
      <c r="C103" s="36" t="s">
        <v>121</v>
      </c>
      <c r="D103" s="37">
        <v>1500</v>
      </c>
      <c r="E103" s="37">
        <v>296.25</v>
      </c>
      <c r="F103" s="37">
        <v>611.58999999999992</v>
      </c>
      <c r="G103" s="37">
        <v>200</v>
      </c>
      <c r="H103" s="37">
        <f>SUM(D103:G103)</f>
        <v>2607.84</v>
      </c>
      <c r="I103" s="14" t="s">
        <v>34</v>
      </c>
    </row>
    <row r="104" spans="1:9" x14ac:dyDescent="0.25">
      <c r="A104" s="36" t="s">
        <v>91</v>
      </c>
      <c r="B104" s="36" t="s">
        <v>105</v>
      </c>
      <c r="C104" s="36" t="s">
        <v>120</v>
      </c>
      <c r="D104" s="37">
        <v>3000</v>
      </c>
      <c r="E104" s="37">
        <v>592.5</v>
      </c>
      <c r="F104" s="37">
        <v>907.83999999999992</v>
      </c>
      <c r="G104" s="37">
        <v>200</v>
      </c>
      <c r="H104" s="37">
        <f>SUM(D104:G104)</f>
        <v>4700.34</v>
      </c>
      <c r="I104" s="14" t="s">
        <v>34</v>
      </c>
    </row>
    <row r="105" spans="1:9" x14ac:dyDescent="0.25">
      <c r="A105" s="36" t="s">
        <v>88</v>
      </c>
      <c r="B105" s="36" t="s">
        <v>105</v>
      </c>
      <c r="C105" s="36" t="s">
        <v>120</v>
      </c>
      <c r="D105" s="37">
        <v>4000</v>
      </c>
      <c r="E105" s="37">
        <v>790</v>
      </c>
      <c r="F105" s="37">
        <v>1105.3399999999999</v>
      </c>
      <c r="G105" s="37">
        <v>200</v>
      </c>
      <c r="H105" s="37">
        <f>SUM(D105:G105)</f>
        <v>6095.34</v>
      </c>
      <c r="I105" s="15" t="s">
        <v>37</v>
      </c>
    </row>
    <row r="106" spans="1:9" x14ac:dyDescent="0.25">
      <c r="A106" s="36" t="s">
        <v>93</v>
      </c>
      <c r="B106" s="36" t="s">
        <v>105</v>
      </c>
      <c r="C106" s="36" t="s">
        <v>27</v>
      </c>
      <c r="D106" s="37">
        <v>6000</v>
      </c>
      <c r="E106" s="37">
        <v>1185</v>
      </c>
      <c r="F106" s="37">
        <v>1500.34</v>
      </c>
      <c r="G106" s="37">
        <v>200</v>
      </c>
      <c r="H106" s="37">
        <f>SUM(D106:G106)</f>
        <v>8885.34</v>
      </c>
      <c r="I106" s="15" t="s">
        <v>37</v>
      </c>
    </row>
    <row r="107" spans="1:9" x14ac:dyDescent="0.25">
      <c r="A107" s="36" t="s">
        <v>87</v>
      </c>
      <c r="B107" s="36" t="s">
        <v>105</v>
      </c>
      <c r="C107" s="36" t="s">
        <v>27</v>
      </c>
      <c r="D107" s="37">
        <v>4000</v>
      </c>
      <c r="E107" s="37">
        <v>790</v>
      </c>
      <c r="F107" s="37">
        <v>1105.3399999999999</v>
      </c>
      <c r="G107" s="37">
        <v>200</v>
      </c>
      <c r="H107" s="37">
        <f>SUM(D107:G107)</f>
        <v>6095.34</v>
      </c>
      <c r="I107" s="14" t="s">
        <v>34</v>
      </c>
    </row>
    <row r="108" spans="1:9" x14ac:dyDescent="0.25">
      <c r="A108" s="36" t="s">
        <v>97</v>
      </c>
      <c r="B108" s="36" t="s">
        <v>105</v>
      </c>
      <c r="C108" s="36" t="s">
        <v>121</v>
      </c>
      <c r="D108" s="37">
        <v>4500</v>
      </c>
      <c r="E108" s="37">
        <v>888.75</v>
      </c>
      <c r="F108" s="37">
        <v>1204.0899999999999</v>
      </c>
      <c r="G108" s="37">
        <v>200</v>
      </c>
      <c r="H108" s="37">
        <f>SUM(D108:G108)</f>
        <v>6792.84</v>
      </c>
      <c r="I108" s="16" t="s">
        <v>36</v>
      </c>
    </row>
    <row r="109" spans="1:9" x14ac:dyDescent="0.25">
      <c r="A109" s="36" t="s">
        <v>92</v>
      </c>
      <c r="B109" s="36" t="s">
        <v>105</v>
      </c>
      <c r="C109" s="36" t="s">
        <v>121</v>
      </c>
      <c r="D109" s="37">
        <v>4700</v>
      </c>
      <c r="E109" s="37">
        <v>928.25</v>
      </c>
      <c r="F109" s="37">
        <v>1243.5899999999999</v>
      </c>
      <c r="G109" s="37">
        <v>200</v>
      </c>
      <c r="H109" s="37">
        <f>SUM(D109:G109)</f>
        <v>7071.84</v>
      </c>
      <c r="I109" s="15" t="s">
        <v>37</v>
      </c>
    </row>
    <row r="110" spans="1:9" x14ac:dyDescent="0.25">
      <c r="A110" s="36" t="s">
        <v>95</v>
      </c>
      <c r="B110" s="36" t="s">
        <v>105</v>
      </c>
      <c r="C110" s="36" t="s">
        <v>27</v>
      </c>
      <c r="D110" s="37">
        <v>3900</v>
      </c>
      <c r="E110" s="37">
        <v>770.25</v>
      </c>
      <c r="F110" s="37">
        <v>1085.5899999999999</v>
      </c>
      <c r="G110" s="37">
        <v>200</v>
      </c>
      <c r="H110" s="37">
        <f>SUM(D110:G110)</f>
        <v>5955.84</v>
      </c>
      <c r="I110" s="15" t="s">
        <v>37</v>
      </c>
    </row>
    <row r="111" spans="1:9" x14ac:dyDescent="0.25">
      <c r="A111" s="36" t="s">
        <v>94</v>
      </c>
      <c r="B111" s="36" t="s">
        <v>105</v>
      </c>
      <c r="C111" s="36" t="s">
        <v>120</v>
      </c>
      <c r="D111" s="37">
        <v>5100</v>
      </c>
      <c r="E111" s="37">
        <v>1007.25</v>
      </c>
      <c r="F111" s="37">
        <v>1322.59</v>
      </c>
      <c r="G111" s="37">
        <v>200</v>
      </c>
      <c r="H111" s="37">
        <f>SUM(D111:G111)</f>
        <v>7629.84</v>
      </c>
      <c r="I111" s="14" t="s">
        <v>34</v>
      </c>
    </row>
    <row r="112" spans="1:9" x14ac:dyDescent="0.25">
      <c r="A112" s="36" t="s">
        <v>85</v>
      </c>
      <c r="B112" s="36" t="s">
        <v>105</v>
      </c>
      <c r="C112" s="36" t="s">
        <v>121</v>
      </c>
      <c r="D112" s="37">
        <v>2000</v>
      </c>
      <c r="E112" s="37">
        <v>395</v>
      </c>
      <c r="F112" s="37">
        <v>710.33999999999992</v>
      </c>
      <c r="G112" s="37">
        <v>200</v>
      </c>
      <c r="H112" s="37">
        <f>SUM(D112:G112)</f>
        <v>3305.34</v>
      </c>
      <c r="I112" s="15" t="s">
        <v>37</v>
      </c>
    </row>
    <row r="113" spans="1:9" x14ac:dyDescent="0.25">
      <c r="A113" s="36" t="s">
        <v>86</v>
      </c>
      <c r="B113" s="36" t="s">
        <v>105</v>
      </c>
      <c r="C113" s="36" t="s">
        <v>27</v>
      </c>
      <c r="D113" s="37">
        <v>3800</v>
      </c>
      <c r="E113" s="37">
        <v>750.5</v>
      </c>
      <c r="F113" s="37">
        <v>1065.8399999999999</v>
      </c>
      <c r="G113" s="37">
        <v>200</v>
      </c>
      <c r="H113" s="37">
        <f>SUM(D113:G113)</f>
        <v>5816.34</v>
      </c>
      <c r="I113" s="16" t="s">
        <v>36</v>
      </c>
    </row>
    <row r="114" spans="1:9" x14ac:dyDescent="0.25">
      <c r="A114" s="36" t="s">
        <v>89</v>
      </c>
      <c r="B114" s="36" t="s">
        <v>105</v>
      </c>
      <c r="C114" s="36" t="s">
        <v>27</v>
      </c>
      <c r="D114" s="37">
        <v>4650</v>
      </c>
      <c r="E114" s="37">
        <v>918.375</v>
      </c>
      <c r="F114" s="37">
        <v>1233.7149999999999</v>
      </c>
      <c r="G114" s="37">
        <v>200</v>
      </c>
      <c r="H114" s="37">
        <f>SUM(D114:G114)</f>
        <v>7002.09</v>
      </c>
      <c r="I114" s="15" t="s">
        <v>37</v>
      </c>
    </row>
    <row r="115" spans="1:9" x14ac:dyDescent="0.25">
      <c r="A115" s="36" t="s">
        <v>96</v>
      </c>
      <c r="B115" s="36" t="s">
        <v>105</v>
      </c>
      <c r="C115" s="36" t="s">
        <v>120</v>
      </c>
      <c r="D115" s="37">
        <v>1800</v>
      </c>
      <c r="E115" s="37">
        <v>355.5</v>
      </c>
      <c r="F115" s="37">
        <v>670.83999999999992</v>
      </c>
      <c r="G115" s="37">
        <v>200</v>
      </c>
      <c r="H115" s="37">
        <f>SUM(D115:G115)</f>
        <v>3026.34</v>
      </c>
      <c r="I115" s="15" t="s">
        <v>37</v>
      </c>
    </row>
    <row r="116" spans="1:9" x14ac:dyDescent="0.25">
      <c r="A116" s="36" t="s">
        <v>90</v>
      </c>
      <c r="B116" s="36" t="s">
        <v>105</v>
      </c>
      <c r="C116" s="36" t="s">
        <v>120</v>
      </c>
      <c r="D116" s="37">
        <v>3000</v>
      </c>
      <c r="E116" s="37">
        <v>592.5</v>
      </c>
      <c r="F116" s="37">
        <v>907.83999999999992</v>
      </c>
      <c r="G116" s="37">
        <v>200</v>
      </c>
      <c r="H116" s="37">
        <f>SUM(D116:G116)</f>
        <v>4700.34</v>
      </c>
      <c r="I116" s="16" t="s">
        <v>36</v>
      </c>
    </row>
    <row r="117" spans="1:9" x14ac:dyDescent="0.25">
      <c r="A117" s="36" t="s">
        <v>84</v>
      </c>
      <c r="B117" s="36" t="s">
        <v>105</v>
      </c>
      <c r="C117" s="36" t="s">
        <v>27</v>
      </c>
      <c r="D117" s="37">
        <v>3000</v>
      </c>
      <c r="E117" s="37">
        <v>592.5</v>
      </c>
      <c r="F117" s="37">
        <v>907.83999999999992</v>
      </c>
      <c r="G117" s="37">
        <v>200</v>
      </c>
      <c r="H117" s="37">
        <f>SUM(D117:G117)</f>
        <v>4700.34</v>
      </c>
      <c r="I117" s="14" t="s">
        <v>34</v>
      </c>
    </row>
    <row r="118" spans="1:9" x14ac:dyDescent="0.25">
      <c r="A118" s="36" t="s">
        <v>99</v>
      </c>
      <c r="B118" s="36" t="s">
        <v>105</v>
      </c>
      <c r="C118" s="36" t="s">
        <v>121</v>
      </c>
      <c r="D118" s="37">
        <v>1800</v>
      </c>
      <c r="E118" s="37">
        <v>355.5</v>
      </c>
      <c r="F118" s="37">
        <v>670.83999999999992</v>
      </c>
      <c r="G118" s="37">
        <v>200</v>
      </c>
      <c r="H118" s="37">
        <f>SUM(D118:G118)</f>
        <v>3026.34</v>
      </c>
      <c r="I118" s="15" t="s">
        <v>37</v>
      </c>
    </row>
    <row r="119" spans="1:9" x14ac:dyDescent="0.25">
      <c r="A119" s="36" t="s">
        <v>98</v>
      </c>
      <c r="B119" s="36" t="s">
        <v>105</v>
      </c>
      <c r="C119" s="36" t="s">
        <v>121</v>
      </c>
      <c r="D119" s="37">
        <v>1500</v>
      </c>
      <c r="E119" s="37">
        <v>296.25</v>
      </c>
      <c r="F119" s="37">
        <v>611.58999999999992</v>
      </c>
      <c r="G119" s="37">
        <v>200</v>
      </c>
      <c r="H119" s="37">
        <f>SUM(D119:G119)</f>
        <v>2607.84</v>
      </c>
      <c r="I119" s="14" t="s">
        <v>34</v>
      </c>
    </row>
    <row r="120" spans="1:9" x14ac:dyDescent="0.25">
      <c r="A120" s="36" t="s">
        <v>91</v>
      </c>
      <c r="B120" s="36" t="s">
        <v>104</v>
      </c>
      <c r="C120" s="36" t="s">
        <v>120</v>
      </c>
      <c r="D120" s="37">
        <v>3000</v>
      </c>
      <c r="E120" s="37">
        <v>592.5</v>
      </c>
      <c r="F120" s="37">
        <v>907.83999999999992</v>
      </c>
      <c r="G120" s="37">
        <v>200</v>
      </c>
      <c r="H120" s="37">
        <f>SUM(D120:G120)</f>
        <v>4700.34</v>
      </c>
      <c r="I120" s="14" t="s">
        <v>34</v>
      </c>
    </row>
    <row r="121" spans="1:9" x14ac:dyDescent="0.25">
      <c r="A121" s="36" t="s">
        <v>88</v>
      </c>
      <c r="B121" s="36" t="s">
        <v>104</v>
      </c>
      <c r="C121" s="36" t="s">
        <v>120</v>
      </c>
      <c r="D121" s="37">
        <v>4000</v>
      </c>
      <c r="E121" s="37">
        <v>790</v>
      </c>
      <c r="F121" s="37">
        <v>1105.3399999999999</v>
      </c>
      <c r="G121" s="37">
        <v>200</v>
      </c>
      <c r="H121" s="37">
        <f>SUM(D121:G121)</f>
        <v>6095.34</v>
      </c>
      <c r="I121" s="15" t="s">
        <v>37</v>
      </c>
    </row>
    <row r="122" spans="1:9" x14ac:dyDescent="0.25">
      <c r="A122" s="36" t="s">
        <v>93</v>
      </c>
      <c r="B122" s="36" t="s">
        <v>104</v>
      </c>
      <c r="C122" s="36" t="s">
        <v>27</v>
      </c>
      <c r="D122" s="37">
        <v>6000</v>
      </c>
      <c r="E122" s="37">
        <v>1185</v>
      </c>
      <c r="F122" s="37">
        <v>1500.34</v>
      </c>
      <c r="G122" s="37">
        <v>200</v>
      </c>
      <c r="H122" s="37">
        <f>SUM(D122:G122)</f>
        <v>8885.34</v>
      </c>
      <c r="I122" s="16" t="s">
        <v>36</v>
      </c>
    </row>
    <row r="123" spans="1:9" x14ac:dyDescent="0.25">
      <c r="A123" s="36" t="s">
        <v>87</v>
      </c>
      <c r="B123" s="36" t="s">
        <v>104</v>
      </c>
      <c r="C123" s="36" t="s">
        <v>27</v>
      </c>
      <c r="D123" s="37">
        <v>4000</v>
      </c>
      <c r="E123" s="37">
        <v>790</v>
      </c>
      <c r="F123" s="37">
        <v>1105.3399999999999</v>
      </c>
      <c r="G123" s="37">
        <v>200</v>
      </c>
      <c r="H123" s="37">
        <f>SUM(D123:G123)</f>
        <v>6095.34</v>
      </c>
      <c r="I123" s="14" t="s">
        <v>34</v>
      </c>
    </row>
    <row r="124" spans="1:9" x14ac:dyDescent="0.25">
      <c r="A124" s="36" t="s">
        <v>97</v>
      </c>
      <c r="B124" s="36" t="s">
        <v>104</v>
      </c>
      <c r="C124" s="36" t="s">
        <v>121</v>
      </c>
      <c r="D124" s="37">
        <v>4500</v>
      </c>
      <c r="E124" s="37">
        <v>888.75</v>
      </c>
      <c r="F124" s="37">
        <v>1204.0899999999999</v>
      </c>
      <c r="G124" s="37">
        <v>200</v>
      </c>
      <c r="H124" s="37">
        <f>SUM(D124:G124)</f>
        <v>6792.84</v>
      </c>
      <c r="I124" s="16" t="s">
        <v>36</v>
      </c>
    </row>
    <row r="125" spans="1:9" x14ac:dyDescent="0.25">
      <c r="A125" s="36" t="s">
        <v>92</v>
      </c>
      <c r="B125" s="36" t="s">
        <v>104</v>
      </c>
      <c r="C125" s="36" t="s">
        <v>121</v>
      </c>
      <c r="D125" s="37">
        <v>4700</v>
      </c>
      <c r="E125" s="37">
        <v>928.25</v>
      </c>
      <c r="F125" s="37">
        <v>1243.5899999999999</v>
      </c>
      <c r="G125" s="37">
        <v>200</v>
      </c>
      <c r="H125" s="37">
        <f>SUM(D125:G125)</f>
        <v>7071.84</v>
      </c>
      <c r="I125" s="16" t="s">
        <v>36</v>
      </c>
    </row>
    <row r="126" spans="1:9" x14ac:dyDescent="0.25">
      <c r="A126" s="36" t="s">
        <v>95</v>
      </c>
      <c r="B126" s="36" t="s">
        <v>104</v>
      </c>
      <c r="C126" s="36" t="s">
        <v>27</v>
      </c>
      <c r="D126" s="37">
        <v>3900</v>
      </c>
      <c r="E126" s="37">
        <v>770.25</v>
      </c>
      <c r="F126" s="37">
        <v>1085.5899999999999</v>
      </c>
      <c r="G126" s="37">
        <v>200</v>
      </c>
      <c r="H126" s="37">
        <f>SUM(D126:G126)</f>
        <v>5955.84</v>
      </c>
      <c r="I126" s="15" t="s">
        <v>37</v>
      </c>
    </row>
    <row r="127" spans="1:9" x14ac:dyDescent="0.25">
      <c r="A127" s="36" t="s">
        <v>94</v>
      </c>
      <c r="B127" s="36" t="s">
        <v>104</v>
      </c>
      <c r="C127" s="36" t="s">
        <v>120</v>
      </c>
      <c r="D127" s="37">
        <v>5100</v>
      </c>
      <c r="E127" s="37">
        <v>1007.25</v>
      </c>
      <c r="F127" s="37">
        <v>1322.59</v>
      </c>
      <c r="G127" s="37">
        <v>200</v>
      </c>
      <c r="H127" s="37">
        <f>SUM(D127:G127)</f>
        <v>7629.84</v>
      </c>
      <c r="I127" s="14" t="s">
        <v>34</v>
      </c>
    </row>
    <row r="128" spans="1:9" x14ac:dyDescent="0.25">
      <c r="A128" s="36" t="s">
        <v>85</v>
      </c>
      <c r="B128" s="36" t="s">
        <v>104</v>
      </c>
      <c r="C128" s="36" t="s">
        <v>121</v>
      </c>
      <c r="D128" s="37">
        <v>2000</v>
      </c>
      <c r="E128" s="37">
        <v>395</v>
      </c>
      <c r="F128" s="37">
        <v>710.33999999999992</v>
      </c>
      <c r="G128" s="37">
        <v>200</v>
      </c>
      <c r="H128" s="37">
        <f>SUM(D128:G128)</f>
        <v>3305.34</v>
      </c>
      <c r="I128" s="15" t="s">
        <v>37</v>
      </c>
    </row>
    <row r="129" spans="1:9" x14ac:dyDescent="0.25">
      <c r="A129" s="36" t="s">
        <v>86</v>
      </c>
      <c r="B129" s="36" t="s">
        <v>104</v>
      </c>
      <c r="C129" s="36" t="s">
        <v>27</v>
      </c>
      <c r="D129" s="37">
        <v>3800</v>
      </c>
      <c r="E129" s="37">
        <v>750.5</v>
      </c>
      <c r="F129" s="37">
        <v>1065.8399999999999</v>
      </c>
      <c r="G129" s="37">
        <v>200</v>
      </c>
      <c r="H129" s="37">
        <f>SUM(D129:G129)</f>
        <v>5816.34</v>
      </c>
      <c r="I129" s="16" t="s">
        <v>36</v>
      </c>
    </row>
    <row r="130" spans="1:9" x14ac:dyDescent="0.25">
      <c r="A130" s="36" t="s">
        <v>89</v>
      </c>
      <c r="B130" s="36" t="s">
        <v>104</v>
      </c>
      <c r="C130" s="36" t="s">
        <v>27</v>
      </c>
      <c r="D130" s="37">
        <v>4650</v>
      </c>
      <c r="E130" s="37">
        <v>918.375</v>
      </c>
      <c r="F130" s="37">
        <v>1233.7149999999999</v>
      </c>
      <c r="G130" s="37">
        <v>200</v>
      </c>
      <c r="H130" s="37">
        <f>SUM(D130:G130)</f>
        <v>7002.09</v>
      </c>
      <c r="I130" s="16" t="s">
        <v>36</v>
      </c>
    </row>
    <row r="131" spans="1:9" x14ac:dyDescent="0.25">
      <c r="A131" s="36" t="s">
        <v>96</v>
      </c>
      <c r="B131" s="36" t="s">
        <v>104</v>
      </c>
      <c r="C131" s="36" t="s">
        <v>120</v>
      </c>
      <c r="D131" s="37">
        <v>1800</v>
      </c>
      <c r="E131" s="37">
        <v>355.5</v>
      </c>
      <c r="F131" s="37">
        <v>670.83999999999992</v>
      </c>
      <c r="G131" s="37">
        <v>200</v>
      </c>
      <c r="H131" s="37">
        <f>SUM(D131:G131)</f>
        <v>3026.34</v>
      </c>
      <c r="I131" s="16" t="s">
        <v>36</v>
      </c>
    </row>
    <row r="132" spans="1:9" x14ac:dyDescent="0.25">
      <c r="A132" s="36" t="s">
        <v>90</v>
      </c>
      <c r="B132" s="36" t="s">
        <v>104</v>
      </c>
      <c r="C132" s="36" t="s">
        <v>120</v>
      </c>
      <c r="D132" s="37">
        <v>3000</v>
      </c>
      <c r="E132" s="37">
        <v>592.5</v>
      </c>
      <c r="F132" s="37">
        <v>907.83999999999992</v>
      </c>
      <c r="G132" s="37">
        <v>200</v>
      </c>
      <c r="H132" s="37">
        <f>SUM(D132:G132)</f>
        <v>4700.34</v>
      </c>
      <c r="I132" s="16" t="s">
        <v>36</v>
      </c>
    </row>
    <row r="133" spans="1:9" x14ac:dyDescent="0.25">
      <c r="A133" s="36" t="s">
        <v>84</v>
      </c>
      <c r="B133" s="36" t="s">
        <v>104</v>
      </c>
      <c r="C133" s="36" t="s">
        <v>27</v>
      </c>
      <c r="D133" s="37">
        <v>3000</v>
      </c>
      <c r="E133" s="37">
        <v>592.5</v>
      </c>
      <c r="F133" s="37">
        <v>907.83999999999992</v>
      </c>
      <c r="G133" s="37">
        <v>200</v>
      </c>
      <c r="H133" s="37">
        <f>SUM(D133:G133)</f>
        <v>4700.34</v>
      </c>
      <c r="I133" s="14" t="s">
        <v>34</v>
      </c>
    </row>
    <row r="134" spans="1:9" x14ac:dyDescent="0.25">
      <c r="A134" s="36" t="s">
        <v>99</v>
      </c>
      <c r="B134" s="36" t="s">
        <v>104</v>
      </c>
      <c r="C134" s="36" t="s">
        <v>121</v>
      </c>
      <c r="D134" s="37">
        <v>1800</v>
      </c>
      <c r="E134" s="37">
        <v>355.5</v>
      </c>
      <c r="F134" s="37">
        <v>670.83999999999992</v>
      </c>
      <c r="G134" s="37">
        <v>200</v>
      </c>
      <c r="H134" s="37">
        <f>SUM(D134:G134)</f>
        <v>3026.34</v>
      </c>
      <c r="I134" s="16" t="s">
        <v>36</v>
      </c>
    </row>
    <row r="135" spans="1:9" x14ac:dyDescent="0.25">
      <c r="A135" s="36" t="s">
        <v>98</v>
      </c>
      <c r="B135" s="36" t="s">
        <v>104</v>
      </c>
      <c r="C135" s="36" t="s">
        <v>121</v>
      </c>
      <c r="D135" s="37">
        <v>1500</v>
      </c>
      <c r="E135" s="37">
        <v>296.25</v>
      </c>
      <c r="F135" s="37">
        <v>611.58999999999992</v>
      </c>
      <c r="G135" s="37">
        <v>200</v>
      </c>
      <c r="H135" s="37">
        <f>SUM(D135:G135)</f>
        <v>2607.84</v>
      </c>
      <c r="I135" s="14" t="s">
        <v>34</v>
      </c>
    </row>
    <row r="136" spans="1:9" x14ac:dyDescent="0.25">
      <c r="A136" s="36" t="s">
        <v>91</v>
      </c>
      <c r="B136" s="36" t="s">
        <v>102</v>
      </c>
      <c r="C136" s="36" t="s">
        <v>120</v>
      </c>
      <c r="D136" s="37">
        <v>3000</v>
      </c>
      <c r="E136" s="37">
        <v>592.5</v>
      </c>
      <c r="F136" s="37">
        <v>907.83999999999992</v>
      </c>
      <c r="G136" s="37">
        <v>200</v>
      </c>
      <c r="H136" s="37">
        <f>SUM(D136:G136)</f>
        <v>4700.34</v>
      </c>
      <c r="I136" s="14" t="s">
        <v>34</v>
      </c>
    </row>
    <row r="137" spans="1:9" x14ac:dyDescent="0.25">
      <c r="A137" s="36" t="s">
        <v>88</v>
      </c>
      <c r="B137" s="36" t="s">
        <v>102</v>
      </c>
      <c r="C137" s="36" t="s">
        <v>120</v>
      </c>
      <c r="D137" s="37">
        <v>4000</v>
      </c>
      <c r="E137" s="37">
        <v>790</v>
      </c>
      <c r="F137" s="37">
        <v>1105.3399999999999</v>
      </c>
      <c r="G137" s="37">
        <v>200</v>
      </c>
      <c r="H137" s="37">
        <f>SUM(D137:G137)</f>
        <v>6095.34</v>
      </c>
      <c r="I137" s="15" t="s">
        <v>37</v>
      </c>
    </row>
    <row r="138" spans="1:9" x14ac:dyDescent="0.25">
      <c r="A138" s="36" t="s">
        <v>93</v>
      </c>
      <c r="B138" s="36" t="s">
        <v>102</v>
      </c>
      <c r="C138" s="36" t="s">
        <v>27</v>
      </c>
      <c r="D138" s="37">
        <v>6000</v>
      </c>
      <c r="E138" s="37">
        <v>1185</v>
      </c>
      <c r="F138" s="37">
        <v>1500.34</v>
      </c>
      <c r="G138" s="37">
        <v>200</v>
      </c>
      <c r="H138" s="37">
        <f>SUM(D138:G138)</f>
        <v>8885.34</v>
      </c>
      <c r="I138" s="15" t="s">
        <v>37</v>
      </c>
    </row>
    <row r="139" spans="1:9" x14ac:dyDescent="0.25">
      <c r="A139" s="36" t="s">
        <v>87</v>
      </c>
      <c r="B139" s="36" t="s">
        <v>102</v>
      </c>
      <c r="C139" s="36" t="s">
        <v>27</v>
      </c>
      <c r="D139" s="37">
        <v>4000</v>
      </c>
      <c r="E139" s="37">
        <v>790</v>
      </c>
      <c r="F139" s="37">
        <v>1105.3399999999999</v>
      </c>
      <c r="G139" s="37">
        <v>200</v>
      </c>
      <c r="H139" s="37">
        <f>SUM(D139:G139)</f>
        <v>6095.34</v>
      </c>
      <c r="I139" s="14" t="s">
        <v>34</v>
      </c>
    </row>
    <row r="140" spans="1:9" x14ac:dyDescent="0.25">
      <c r="A140" s="36" t="s">
        <v>97</v>
      </c>
      <c r="B140" s="36" t="s">
        <v>102</v>
      </c>
      <c r="C140" s="36" t="s">
        <v>121</v>
      </c>
      <c r="D140" s="37">
        <v>4500</v>
      </c>
      <c r="E140" s="37">
        <v>888.75</v>
      </c>
      <c r="F140" s="37">
        <v>1204.0899999999999</v>
      </c>
      <c r="G140" s="37">
        <v>200</v>
      </c>
      <c r="H140" s="37">
        <f>SUM(D140:G140)</f>
        <v>6792.84</v>
      </c>
      <c r="I140" s="16" t="s">
        <v>36</v>
      </c>
    </row>
    <row r="141" spans="1:9" x14ac:dyDescent="0.25">
      <c r="A141" s="36" t="s">
        <v>92</v>
      </c>
      <c r="B141" s="36" t="s">
        <v>102</v>
      </c>
      <c r="C141" s="36" t="s">
        <v>121</v>
      </c>
      <c r="D141" s="37">
        <v>4700</v>
      </c>
      <c r="E141" s="37">
        <v>928.25</v>
      </c>
      <c r="F141" s="37">
        <v>1243.5899999999999</v>
      </c>
      <c r="G141" s="37">
        <v>200</v>
      </c>
      <c r="H141" s="37">
        <f>SUM(D141:G141)</f>
        <v>7071.84</v>
      </c>
      <c r="I141" s="15" t="s">
        <v>37</v>
      </c>
    </row>
    <row r="142" spans="1:9" x14ac:dyDescent="0.25">
      <c r="A142" s="36" t="s">
        <v>95</v>
      </c>
      <c r="B142" s="36" t="s">
        <v>102</v>
      </c>
      <c r="C142" s="36" t="s">
        <v>27</v>
      </c>
      <c r="D142" s="37">
        <v>3900</v>
      </c>
      <c r="E142" s="37">
        <v>770.25</v>
      </c>
      <c r="F142" s="37">
        <v>1085.5899999999999</v>
      </c>
      <c r="G142" s="37">
        <v>200</v>
      </c>
      <c r="H142" s="37">
        <f>SUM(D142:G142)</f>
        <v>5955.84</v>
      </c>
      <c r="I142" s="15" t="s">
        <v>37</v>
      </c>
    </row>
    <row r="143" spans="1:9" x14ac:dyDescent="0.25">
      <c r="A143" s="36" t="s">
        <v>94</v>
      </c>
      <c r="B143" s="36" t="s">
        <v>102</v>
      </c>
      <c r="C143" s="36" t="s">
        <v>120</v>
      </c>
      <c r="D143" s="37">
        <v>5100</v>
      </c>
      <c r="E143" s="37">
        <v>1007.25</v>
      </c>
      <c r="F143" s="37">
        <v>1322.59</v>
      </c>
      <c r="G143" s="37">
        <v>200</v>
      </c>
      <c r="H143" s="37">
        <f>SUM(D143:G143)</f>
        <v>7629.84</v>
      </c>
      <c r="I143" s="15" t="s">
        <v>37</v>
      </c>
    </row>
    <row r="144" spans="1:9" x14ac:dyDescent="0.25">
      <c r="A144" s="36" t="s">
        <v>85</v>
      </c>
      <c r="B144" s="36" t="s">
        <v>102</v>
      </c>
      <c r="C144" s="36" t="s">
        <v>121</v>
      </c>
      <c r="D144" s="37">
        <v>2000</v>
      </c>
      <c r="E144" s="37">
        <v>395</v>
      </c>
      <c r="F144" s="37">
        <v>710.33999999999992</v>
      </c>
      <c r="G144" s="37">
        <v>200</v>
      </c>
      <c r="H144" s="37">
        <f>SUM(D144:G144)</f>
        <v>3305.34</v>
      </c>
      <c r="I144" s="15" t="s">
        <v>37</v>
      </c>
    </row>
    <row r="145" spans="1:9" x14ac:dyDescent="0.25">
      <c r="A145" s="36" t="s">
        <v>86</v>
      </c>
      <c r="B145" s="36" t="s">
        <v>102</v>
      </c>
      <c r="C145" s="36" t="s">
        <v>27</v>
      </c>
      <c r="D145" s="37">
        <v>3800</v>
      </c>
      <c r="E145" s="37">
        <v>750.5</v>
      </c>
      <c r="F145" s="37">
        <v>1065.8399999999999</v>
      </c>
      <c r="G145" s="37">
        <v>200</v>
      </c>
      <c r="H145" s="37">
        <f>SUM(D145:G145)</f>
        <v>5816.34</v>
      </c>
      <c r="I145" s="15" t="s">
        <v>37</v>
      </c>
    </row>
    <row r="146" spans="1:9" x14ac:dyDescent="0.25">
      <c r="A146" s="36" t="s">
        <v>89</v>
      </c>
      <c r="B146" s="36" t="s">
        <v>102</v>
      </c>
      <c r="C146" s="36" t="s">
        <v>27</v>
      </c>
      <c r="D146" s="37">
        <v>4650</v>
      </c>
      <c r="E146" s="37">
        <v>918.375</v>
      </c>
      <c r="F146" s="37">
        <v>1233.7149999999999</v>
      </c>
      <c r="G146" s="37">
        <v>200</v>
      </c>
      <c r="H146" s="37">
        <f>SUM(D146:G146)</f>
        <v>7002.09</v>
      </c>
      <c r="I146" s="15" t="s">
        <v>37</v>
      </c>
    </row>
    <row r="147" spans="1:9" x14ac:dyDescent="0.25">
      <c r="A147" s="36" t="s">
        <v>96</v>
      </c>
      <c r="B147" s="36" t="s">
        <v>102</v>
      </c>
      <c r="C147" s="36" t="s">
        <v>120</v>
      </c>
      <c r="D147" s="37">
        <v>1800</v>
      </c>
      <c r="E147" s="37">
        <v>355.5</v>
      </c>
      <c r="F147" s="37">
        <v>670.83999999999992</v>
      </c>
      <c r="G147" s="37">
        <v>200</v>
      </c>
      <c r="H147" s="37">
        <f>SUM(D147:G147)</f>
        <v>3026.34</v>
      </c>
      <c r="I147" s="15" t="s">
        <v>37</v>
      </c>
    </row>
    <row r="148" spans="1:9" x14ac:dyDescent="0.25">
      <c r="A148" s="36" t="s">
        <v>90</v>
      </c>
      <c r="B148" s="36" t="s">
        <v>102</v>
      </c>
      <c r="C148" s="36" t="s">
        <v>120</v>
      </c>
      <c r="D148" s="37">
        <v>3000</v>
      </c>
      <c r="E148" s="37">
        <v>592.5</v>
      </c>
      <c r="F148" s="37">
        <v>907.83999999999992</v>
      </c>
      <c r="G148" s="37">
        <v>200</v>
      </c>
      <c r="H148" s="37">
        <f>SUM(D148:G148)</f>
        <v>4700.34</v>
      </c>
      <c r="I148" s="16" t="s">
        <v>36</v>
      </c>
    </row>
    <row r="149" spans="1:9" x14ac:dyDescent="0.25">
      <c r="A149" s="36" t="s">
        <v>84</v>
      </c>
      <c r="B149" s="36" t="s">
        <v>102</v>
      </c>
      <c r="C149" s="36" t="s">
        <v>27</v>
      </c>
      <c r="D149" s="37">
        <v>3000</v>
      </c>
      <c r="E149" s="37">
        <v>592.5</v>
      </c>
      <c r="F149" s="37">
        <v>907.83999999999992</v>
      </c>
      <c r="G149" s="37">
        <v>200</v>
      </c>
      <c r="H149" s="37">
        <f>SUM(D149:G149)</f>
        <v>4700.34</v>
      </c>
      <c r="I149" s="14" t="s">
        <v>34</v>
      </c>
    </row>
    <row r="150" spans="1:9" x14ac:dyDescent="0.25">
      <c r="A150" s="36" t="s">
        <v>99</v>
      </c>
      <c r="B150" s="36" t="s">
        <v>102</v>
      </c>
      <c r="C150" s="36" t="s">
        <v>121</v>
      </c>
      <c r="D150" s="37">
        <v>1800</v>
      </c>
      <c r="E150" s="37">
        <v>355.5</v>
      </c>
      <c r="F150" s="37">
        <v>670.83999999999992</v>
      </c>
      <c r="G150" s="37">
        <v>200</v>
      </c>
      <c r="H150" s="37">
        <f>SUM(D150:G150)</f>
        <v>3026.34</v>
      </c>
      <c r="I150" s="15" t="s">
        <v>37</v>
      </c>
    </row>
    <row r="151" spans="1:9" x14ac:dyDescent="0.25">
      <c r="A151" s="36" t="s">
        <v>98</v>
      </c>
      <c r="B151" s="36" t="s">
        <v>102</v>
      </c>
      <c r="C151" s="36" t="s">
        <v>121</v>
      </c>
      <c r="D151" s="37">
        <v>1500</v>
      </c>
      <c r="E151" s="37">
        <v>296.25</v>
      </c>
      <c r="F151" s="37">
        <v>611.58999999999992</v>
      </c>
      <c r="G151" s="37">
        <v>200</v>
      </c>
      <c r="H151" s="37">
        <f>SUM(D151:G151)</f>
        <v>2607.84</v>
      </c>
      <c r="I151" s="15" t="s">
        <v>37</v>
      </c>
    </row>
    <row r="152" spans="1:9" x14ac:dyDescent="0.25">
      <c r="A152" s="36" t="s">
        <v>91</v>
      </c>
      <c r="B152" s="36" t="s">
        <v>109</v>
      </c>
      <c r="C152" s="36" t="s">
        <v>120</v>
      </c>
      <c r="D152" s="37">
        <v>3000</v>
      </c>
      <c r="E152" s="37">
        <v>592.5</v>
      </c>
      <c r="F152" s="37">
        <v>907.83999999999992</v>
      </c>
      <c r="G152" s="37">
        <v>200</v>
      </c>
      <c r="H152" s="37">
        <f>SUM(D152:G152)</f>
        <v>4700.34</v>
      </c>
      <c r="I152" s="16" t="s">
        <v>36</v>
      </c>
    </row>
    <row r="153" spans="1:9" x14ac:dyDescent="0.25">
      <c r="A153" s="36" t="s">
        <v>88</v>
      </c>
      <c r="B153" s="36" t="s">
        <v>109</v>
      </c>
      <c r="C153" s="36" t="s">
        <v>120</v>
      </c>
      <c r="D153" s="37">
        <v>4000</v>
      </c>
      <c r="E153" s="37">
        <v>790</v>
      </c>
      <c r="F153" s="37">
        <v>1105.3399999999999</v>
      </c>
      <c r="G153" s="37">
        <v>200</v>
      </c>
      <c r="H153" s="37">
        <f>SUM(D153:G153)</f>
        <v>6095.34</v>
      </c>
      <c r="I153" s="16" t="s">
        <v>36</v>
      </c>
    </row>
    <row r="154" spans="1:9" x14ac:dyDescent="0.25">
      <c r="A154" s="36" t="s">
        <v>93</v>
      </c>
      <c r="B154" s="36" t="s">
        <v>109</v>
      </c>
      <c r="C154" s="36" t="s">
        <v>27</v>
      </c>
      <c r="D154" s="37">
        <v>6000</v>
      </c>
      <c r="E154" s="37">
        <v>1185</v>
      </c>
      <c r="F154" s="37">
        <v>1500.34</v>
      </c>
      <c r="G154" s="37">
        <v>200</v>
      </c>
      <c r="H154" s="37">
        <f>SUM(D154:G154)</f>
        <v>8885.34</v>
      </c>
      <c r="I154" s="14" t="s">
        <v>34</v>
      </c>
    </row>
    <row r="155" spans="1:9" x14ac:dyDescent="0.25">
      <c r="A155" s="36" t="s">
        <v>87</v>
      </c>
      <c r="B155" s="36" t="s">
        <v>109</v>
      </c>
      <c r="C155" s="36" t="s">
        <v>27</v>
      </c>
      <c r="D155" s="37">
        <v>4000</v>
      </c>
      <c r="E155" s="37">
        <v>790</v>
      </c>
      <c r="F155" s="37">
        <v>1105.3399999999999</v>
      </c>
      <c r="G155" s="37">
        <v>200</v>
      </c>
      <c r="H155" s="37">
        <f>SUM(D155:G155)</f>
        <v>6095.34</v>
      </c>
      <c r="I155" s="16" t="s">
        <v>36</v>
      </c>
    </row>
    <row r="156" spans="1:9" x14ac:dyDescent="0.25">
      <c r="A156" s="36" t="s">
        <v>97</v>
      </c>
      <c r="B156" s="36" t="s">
        <v>109</v>
      </c>
      <c r="C156" s="36" t="s">
        <v>121</v>
      </c>
      <c r="D156" s="37">
        <v>4500</v>
      </c>
      <c r="E156" s="37">
        <v>888.75</v>
      </c>
      <c r="F156" s="37">
        <v>1204.0899999999999</v>
      </c>
      <c r="G156" s="37">
        <v>200</v>
      </c>
      <c r="H156" s="37">
        <f>SUM(D156:G156)</f>
        <v>6792.84</v>
      </c>
      <c r="I156" s="16" t="s">
        <v>36</v>
      </c>
    </row>
    <row r="157" spans="1:9" x14ac:dyDescent="0.25">
      <c r="A157" s="36" t="s">
        <v>92</v>
      </c>
      <c r="B157" s="36" t="s">
        <v>109</v>
      </c>
      <c r="C157" s="36" t="s">
        <v>121</v>
      </c>
      <c r="D157" s="37">
        <v>4700</v>
      </c>
      <c r="E157" s="37">
        <v>928.25</v>
      </c>
      <c r="F157" s="37">
        <v>1243.5899999999999</v>
      </c>
      <c r="G157" s="37">
        <v>200</v>
      </c>
      <c r="H157" s="37">
        <f>SUM(D157:G157)</f>
        <v>7071.84</v>
      </c>
      <c r="I157" s="16" t="s">
        <v>36</v>
      </c>
    </row>
    <row r="158" spans="1:9" x14ac:dyDescent="0.25">
      <c r="A158" s="36" t="s">
        <v>95</v>
      </c>
      <c r="B158" s="36" t="s">
        <v>109</v>
      </c>
      <c r="C158" s="36" t="s">
        <v>27</v>
      </c>
      <c r="D158" s="37">
        <v>3900</v>
      </c>
      <c r="E158" s="37">
        <v>770.25</v>
      </c>
      <c r="F158" s="37">
        <v>1085.5899999999999</v>
      </c>
      <c r="G158" s="37">
        <v>200</v>
      </c>
      <c r="H158" s="37">
        <f>SUM(D158:G158)</f>
        <v>5955.84</v>
      </c>
      <c r="I158" s="16" t="s">
        <v>36</v>
      </c>
    </row>
    <row r="159" spans="1:9" x14ac:dyDescent="0.25">
      <c r="A159" s="36" t="s">
        <v>94</v>
      </c>
      <c r="B159" s="36" t="s">
        <v>109</v>
      </c>
      <c r="C159" s="36" t="s">
        <v>120</v>
      </c>
      <c r="D159" s="37">
        <v>5100</v>
      </c>
      <c r="E159" s="37">
        <v>1007.25</v>
      </c>
      <c r="F159" s="37">
        <v>1322.59</v>
      </c>
      <c r="G159" s="37">
        <v>200</v>
      </c>
      <c r="H159" s="37">
        <f>SUM(D159:G159)</f>
        <v>7629.84</v>
      </c>
      <c r="I159" s="16" t="s">
        <v>36</v>
      </c>
    </row>
    <row r="160" spans="1:9" x14ac:dyDescent="0.25">
      <c r="A160" s="36" t="s">
        <v>85</v>
      </c>
      <c r="B160" s="36" t="s">
        <v>109</v>
      </c>
      <c r="C160" s="36" t="s">
        <v>121</v>
      </c>
      <c r="D160" s="37">
        <v>2000</v>
      </c>
      <c r="E160" s="37">
        <v>395</v>
      </c>
      <c r="F160" s="37">
        <v>710.33999999999992</v>
      </c>
      <c r="G160" s="37">
        <v>200</v>
      </c>
      <c r="H160" s="37">
        <f>SUM(D160:G160)</f>
        <v>3305.34</v>
      </c>
      <c r="I160" s="15" t="s">
        <v>37</v>
      </c>
    </row>
    <row r="161" spans="1:9" x14ac:dyDescent="0.25">
      <c r="A161" s="36" t="s">
        <v>86</v>
      </c>
      <c r="B161" s="36" t="s">
        <v>109</v>
      </c>
      <c r="C161" s="36" t="s">
        <v>27</v>
      </c>
      <c r="D161" s="37">
        <v>3800</v>
      </c>
      <c r="E161" s="37">
        <v>750.5</v>
      </c>
      <c r="F161" s="37">
        <v>1065.8399999999999</v>
      </c>
      <c r="G161" s="37">
        <v>200</v>
      </c>
      <c r="H161" s="37">
        <f>SUM(D161:G161)</f>
        <v>5816.34</v>
      </c>
      <c r="I161" s="16" t="s">
        <v>36</v>
      </c>
    </row>
    <row r="162" spans="1:9" x14ac:dyDescent="0.25">
      <c r="A162" s="36" t="s">
        <v>89</v>
      </c>
      <c r="B162" s="36" t="s">
        <v>109</v>
      </c>
      <c r="C162" s="36" t="s">
        <v>27</v>
      </c>
      <c r="D162" s="37">
        <v>4650</v>
      </c>
      <c r="E162" s="37">
        <v>918.375</v>
      </c>
      <c r="F162" s="37">
        <v>1233.7149999999999</v>
      </c>
      <c r="G162" s="37">
        <v>200</v>
      </c>
      <c r="H162" s="37">
        <f>SUM(D162:G162)</f>
        <v>7002.09</v>
      </c>
      <c r="I162" s="15" t="s">
        <v>37</v>
      </c>
    </row>
    <row r="163" spans="1:9" x14ac:dyDescent="0.25">
      <c r="A163" s="36" t="s">
        <v>96</v>
      </c>
      <c r="B163" s="36" t="s">
        <v>109</v>
      </c>
      <c r="C163" s="36" t="s">
        <v>120</v>
      </c>
      <c r="D163" s="37">
        <v>1800</v>
      </c>
      <c r="E163" s="37">
        <v>355.5</v>
      </c>
      <c r="F163" s="37">
        <v>670.83999999999992</v>
      </c>
      <c r="G163" s="37">
        <v>200</v>
      </c>
      <c r="H163" s="37">
        <f>SUM(D163:G163)</f>
        <v>3026.34</v>
      </c>
      <c r="I163" s="16" t="s">
        <v>36</v>
      </c>
    </row>
    <row r="164" spans="1:9" x14ac:dyDescent="0.25">
      <c r="A164" s="36" t="s">
        <v>90</v>
      </c>
      <c r="B164" s="36" t="s">
        <v>109</v>
      </c>
      <c r="C164" s="36" t="s">
        <v>120</v>
      </c>
      <c r="D164" s="37">
        <v>3000</v>
      </c>
      <c r="E164" s="37">
        <v>592.5</v>
      </c>
      <c r="F164" s="37">
        <v>907.83999999999992</v>
      </c>
      <c r="G164" s="37">
        <v>200</v>
      </c>
      <c r="H164" s="37">
        <f>SUM(D164:G164)</f>
        <v>4700.34</v>
      </c>
      <c r="I164" s="14" t="s">
        <v>34</v>
      </c>
    </row>
    <row r="165" spans="1:9" x14ac:dyDescent="0.25">
      <c r="A165" s="36" t="s">
        <v>84</v>
      </c>
      <c r="B165" s="36" t="s">
        <v>109</v>
      </c>
      <c r="C165" s="36" t="s">
        <v>27</v>
      </c>
      <c r="D165" s="37">
        <v>3000</v>
      </c>
      <c r="E165" s="37">
        <v>592.5</v>
      </c>
      <c r="F165" s="37">
        <v>907.83999999999992</v>
      </c>
      <c r="G165" s="37">
        <v>200</v>
      </c>
      <c r="H165" s="37">
        <f>SUM(D165:G165)</f>
        <v>4700.34</v>
      </c>
      <c r="I165" s="14" t="s">
        <v>34</v>
      </c>
    </row>
    <row r="166" spans="1:9" x14ac:dyDescent="0.25">
      <c r="A166" s="36" t="s">
        <v>99</v>
      </c>
      <c r="B166" s="36" t="s">
        <v>109</v>
      </c>
      <c r="C166" s="36" t="s">
        <v>121</v>
      </c>
      <c r="D166" s="37">
        <v>1800</v>
      </c>
      <c r="E166" s="37">
        <v>355.5</v>
      </c>
      <c r="F166" s="37">
        <v>670.83999999999992</v>
      </c>
      <c r="G166" s="37">
        <v>200</v>
      </c>
      <c r="H166" s="37">
        <f>SUM(D166:G166)</f>
        <v>3026.34</v>
      </c>
      <c r="I166" s="15" t="s">
        <v>37</v>
      </c>
    </row>
    <row r="167" spans="1:9" x14ac:dyDescent="0.25">
      <c r="A167" s="36" t="s">
        <v>98</v>
      </c>
      <c r="B167" s="36" t="s">
        <v>109</v>
      </c>
      <c r="C167" s="36" t="s">
        <v>121</v>
      </c>
      <c r="D167" s="37">
        <v>1500</v>
      </c>
      <c r="E167" s="37">
        <v>296.25</v>
      </c>
      <c r="F167" s="37">
        <v>611.58999999999992</v>
      </c>
      <c r="G167" s="37">
        <v>200</v>
      </c>
      <c r="H167" s="37">
        <f>SUM(D167:G167)</f>
        <v>2607.84</v>
      </c>
      <c r="I167" s="16" t="s">
        <v>36</v>
      </c>
    </row>
    <row r="168" spans="1:9" x14ac:dyDescent="0.25">
      <c r="A168" s="36" t="s">
        <v>91</v>
      </c>
      <c r="B168" s="36" t="s">
        <v>108</v>
      </c>
      <c r="C168" s="36" t="s">
        <v>120</v>
      </c>
      <c r="D168" s="37">
        <v>3000</v>
      </c>
      <c r="E168" s="37">
        <v>592.5</v>
      </c>
      <c r="F168" s="37">
        <v>907.83999999999992</v>
      </c>
      <c r="G168" s="37">
        <v>200</v>
      </c>
      <c r="H168" s="37">
        <f>SUM(D168:G168)</f>
        <v>4700.34</v>
      </c>
      <c r="I168" s="14" t="s">
        <v>34</v>
      </c>
    </row>
    <row r="169" spans="1:9" x14ac:dyDescent="0.25">
      <c r="A169" s="36" t="s">
        <v>88</v>
      </c>
      <c r="B169" s="36" t="s">
        <v>108</v>
      </c>
      <c r="C169" s="36" t="s">
        <v>120</v>
      </c>
      <c r="D169" s="37">
        <v>4000</v>
      </c>
      <c r="E169" s="37">
        <v>790</v>
      </c>
      <c r="F169" s="37">
        <v>1105.3399999999999</v>
      </c>
      <c r="G169" s="37">
        <v>200</v>
      </c>
      <c r="H169" s="37">
        <f>SUM(D169:G169)</f>
        <v>6095.34</v>
      </c>
      <c r="I169" s="16" t="s">
        <v>36</v>
      </c>
    </row>
    <row r="170" spans="1:9" x14ac:dyDescent="0.25">
      <c r="A170" s="36" t="s">
        <v>93</v>
      </c>
      <c r="B170" s="36" t="s">
        <v>108</v>
      </c>
      <c r="C170" s="36" t="s">
        <v>27</v>
      </c>
      <c r="D170" s="37">
        <v>6000</v>
      </c>
      <c r="E170" s="37">
        <v>1185</v>
      </c>
      <c r="F170" s="37">
        <v>1500.34</v>
      </c>
      <c r="G170" s="37">
        <v>200</v>
      </c>
      <c r="H170" s="37">
        <f>SUM(D170:G170)</f>
        <v>8885.34</v>
      </c>
      <c r="I170" s="14" t="s">
        <v>34</v>
      </c>
    </row>
    <row r="171" spans="1:9" x14ac:dyDescent="0.25">
      <c r="A171" s="36" t="s">
        <v>87</v>
      </c>
      <c r="B171" s="36" t="s">
        <v>108</v>
      </c>
      <c r="C171" s="36" t="s">
        <v>27</v>
      </c>
      <c r="D171" s="37">
        <v>4000</v>
      </c>
      <c r="E171" s="37">
        <v>790</v>
      </c>
      <c r="F171" s="37">
        <v>1105.3399999999999</v>
      </c>
      <c r="G171" s="37">
        <v>200</v>
      </c>
      <c r="H171" s="37">
        <f>SUM(D171:G171)</f>
        <v>6095.34</v>
      </c>
      <c r="I171" s="14" t="s">
        <v>34</v>
      </c>
    </row>
    <row r="172" spans="1:9" x14ac:dyDescent="0.25">
      <c r="A172" s="36" t="s">
        <v>97</v>
      </c>
      <c r="B172" s="36" t="s">
        <v>108</v>
      </c>
      <c r="C172" s="36" t="s">
        <v>121</v>
      </c>
      <c r="D172" s="37">
        <v>4500</v>
      </c>
      <c r="E172" s="37">
        <v>888.75</v>
      </c>
      <c r="F172" s="37">
        <v>1204.0899999999999</v>
      </c>
      <c r="G172" s="37">
        <v>200</v>
      </c>
      <c r="H172" s="37">
        <f>SUM(D172:G172)</f>
        <v>6792.84</v>
      </c>
      <c r="I172" s="16" t="s">
        <v>36</v>
      </c>
    </row>
    <row r="173" spans="1:9" x14ac:dyDescent="0.25">
      <c r="A173" s="36" t="s">
        <v>92</v>
      </c>
      <c r="B173" s="36" t="s">
        <v>108</v>
      </c>
      <c r="C173" s="36" t="s">
        <v>121</v>
      </c>
      <c r="D173" s="37">
        <v>4700</v>
      </c>
      <c r="E173" s="37">
        <v>928.25</v>
      </c>
      <c r="F173" s="37">
        <v>1243.5899999999999</v>
      </c>
      <c r="G173" s="37">
        <v>200</v>
      </c>
      <c r="H173" s="37">
        <f>SUM(D173:G173)</f>
        <v>7071.84</v>
      </c>
      <c r="I173" s="14" t="s">
        <v>34</v>
      </c>
    </row>
    <row r="174" spans="1:9" x14ac:dyDescent="0.25">
      <c r="A174" s="36" t="s">
        <v>95</v>
      </c>
      <c r="B174" s="36" t="s">
        <v>108</v>
      </c>
      <c r="C174" s="36" t="s">
        <v>27</v>
      </c>
      <c r="D174" s="37">
        <v>3900</v>
      </c>
      <c r="E174" s="37">
        <v>770.25</v>
      </c>
      <c r="F174" s="37">
        <v>1085.5899999999999</v>
      </c>
      <c r="G174" s="37">
        <v>200</v>
      </c>
      <c r="H174" s="37">
        <f>SUM(D174:G174)</f>
        <v>5955.84</v>
      </c>
      <c r="I174" s="15" t="s">
        <v>37</v>
      </c>
    </row>
    <row r="175" spans="1:9" x14ac:dyDescent="0.25">
      <c r="A175" s="36" t="s">
        <v>94</v>
      </c>
      <c r="B175" s="36" t="s">
        <v>108</v>
      </c>
      <c r="C175" s="36" t="s">
        <v>120</v>
      </c>
      <c r="D175" s="37">
        <v>5100</v>
      </c>
      <c r="E175" s="37">
        <v>1007.25</v>
      </c>
      <c r="F175" s="37">
        <v>1322.59</v>
      </c>
      <c r="G175" s="37">
        <v>200</v>
      </c>
      <c r="H175" s="37">
        <f>SUM(D175:G175)</f>
        <v>7629.84</v>
      </c>
      <c r="I175" s="14" t="s">
        <v>34</v>
      </c>
    </row>
    <row r="176" spans="1:9" x14ac:dyDescent="0.25">
      <c r="A176" s="36" t="s">
        <v>85</v>
      </c>
      <c r="B176" s="36" t="s">
        <v>108</v>
      </c>
      <c r="C176" s="36" t="s">
        <v>121</v>
      </c>
      <c r="D176" s="37">
        <v>2000</v>
      </c>
      <c r="E176" s="37">
        <v>395</v>
      </c>
      <c r="F176" s="37">
        <v>710.33999999999992</v>
      </c>
      <c r="G176" s="37">
        <v>200</v>
      </c>
      <c r="H176" s="37">
        <f>SUM(D176:G176)</f>
        <v>3305.34</v>
      </c>
      <c r="I176" s="15" t="s">
        <v>37</v>
      </c>
    </row>
    <row r="177" spans="1:9" x14ac:dyDescent="0.25">
      <c r="A177" s="36" t="s">
        <v>86</v>
      </c>
      <c r="B177" s="36" t="s">
        <v>108</v>
      </c>
      <c r="C177" s="36" t="s">
        <v>27</v>
      </c>
      <c r="D177" s="37">
        <v>3800</v>
      </c>
      <c r="E177" s="37">
        <v>750.5</v>
      </c>
      <c r="F177" s="37">
        <v>1065.8399999999999</v>
      </c>
      <c r="G177" s="37">
        <v>200</v>
      </c>
      <c r="H177" s="37">
        <f>SUM(D177:G177)</f>
        <v>5816.34</v>
      </c>
      <c r="I177" s="16" t="s">
        <v>36</v>
      </c>
    </row>
    <row r="178" spans="1:9" x14ac:dyDescent="0.25">
      <c r="A178" s="36" t="s">
        <v>89</v>
      </c>
      <c r="B178" s="36" t="s">
        <v>108</v>
      </c>
      <c r="C178" s="36" t="s">
        <v>27</v>
      </c>
      <c r="D178" s="37">
        <v>4650</v>
      </c>
      <c r="E178" s="37">
        <v>918.375</v>
      </c>
      <c r="F178" s="37">
        <v>1233.7149999999999</v>
      </c>
      <c r="G178" s="37">
        <v>200</v>
      </c>
      <c r="H178" s="37">
        <f>SUM(D178:G178)</f>
        <v>7002.09</v>
      </c>
      <c r="I178" s="15" t="s">
        <v>37</v>
      </c>
    </row>
    <row r="179" spans="1:9" x14ac:dyDescent="0.25">
      <c r="A179" s="36" t="s">
        <v>96</v>
      </c>
      <c r="B179" s="36" t="s">
        <v>108</v>
      </c>
      <c r="C179" s="36" t="s">
        <v>120</v>
      </c>
      <c r="D179" s="37">
        <v>1800</v>
      </c>
      <c r="E179" s="37">
        <v>355.5</v>
      </c>
      <c r="F179" s="37">
        <v>670.83999999999992</v>
      </c>
      <c r="G179" s="37">
        <v>200</v>
      </c>
      <c r="H179" s="37">
        <f>SUM(D179:G179)</f>
        <v>3026.34</v>
      </c>
      <c r="I179" s="16" t="s">
        <v>36</v>
      </c>
    </row>
    <row r="180" spans="1:9" x14ac:dyDescent="0.25">
      <c r="A180" s="36" t="s">
        <v>90</v>
      </c>
      <c r="B180" s="36" t="s">
        <v>108</v>
      </c>
      <c r="C180" s="36" t="s">
        <v>120</v>
      </c>
      <c r="D180" s="37">
        <v>3000</v>
      </c>
      <c r="E180" s="37">
        <v>592.5</v>
      </c>
      <c r="F180" s="37">
        <v>907.83999999999992</v>
      </c>
      <c r="G180" s="37">
        <v>200</v>
      </c>
      <c r="H180" s="37">
        <f>SUM(D180:G180)</f>
        <v>4700.34</v>
      </c>
      <c r="I180" s="14" t="s">
        <v>34</v>
      </c>
    </row>
    <row r="181" spans="1:9" x14ac:dyDescent="0.25">
      <c r="A181" s="36" t="s">
        <v>84</v>
      </c>
      <c r="B181" s="36" t="s">
        <v>108</v>
      </c>
      <c r="C181" s="36" t="s">
        <v>27</v>
      </c>
      <c r="D181" s="37">
        <v>3000</v>
      </c>
      <c r="E181" s="37">
        <v>592.5</v>
      </c>
      <c r="F181" s="37">
        <v>907.83999999999992</v>
      </c>
      <c r="G181" s="37">
        <v>200</v>
      </c>
      <c r="H181" s="37">
        <f>SUM(D181:G181)</f>
        <v>4700.34</v>
      </c>
      <c r="I181" s="14" t="s">
        <v>34</v>
      </c>
    </row>
    <row r="182" spans="1:9" x14ac:dyDescent="0.25">
      <c r="A182" s="36" t="s">
        <v>99</v>
      </c>
      <c r="B182" s="36" t="s">
        <v>108</v>
      </c>
      <c r="C182" s="36" t="s">
        <v>121</v>
      </c>
      <c r="D182" s="37">
        <v>1800</v>
      </c>
      <c r="E182" s="37">
        <v>355.5</v>
      </c>
      <c r="F182" s="37">
        <v>670.83999999999992</v>
      </c>
      <c r="G182" s="37">
        <v>200</v>
      </c>
      <c r="H182" s="37">
        <f>SUM(D182:G182)</f>
        <v>3026.34</v>
      </c>
      <c r="I182" s="15" t="s">
        <v>37</v>
      </c>
    </row>
    <row r="183" spans="1:9" x14ac:dyDescent="0.25">
      <c r="A183" s="36" t="s">
        <v>98</v>
      </c>
      <c r="B183" s="36" t="s">
        <v>108</v>
      </c>
      <c r="C183" s="36" t="s">
        <v>121</v>
      </c>
      <c r="D183" s="37">
        <v>1500</v>
      </c>
      <c r="E183" s="37">
        <v>296.25</v>
      </c>
      <c r="F183" s="37">
        <v>611.58999999999992</v>
      </c>
      <c r="G183" s="37">
        <v>200</v>
      </c>
      <c r="H183" s="37">
        <f>SUM(D183:G183)</f>
        <v>2607.84</v>
      </c>
      <c r="I183" s="14" t="s">
        <v>34</v>
      </c>
    </row>
    <row r="184" spans="1:9" x14ac:dyDescent="0.25">
      <c r="A184" s="36" t="s">
        <v>91</v>
      </c>
      <c r="B184" s="36" t="s">
        <v>107</v>
      </c>
      <c r="C184" s="36" t="s">
        <v>120</v>
      </c>
      <c r="D184" s="37">
        <v>3000</v>
      </c>
      <c r="E184" s="37">
        <v>592.5</v>
      </c>
      <c r="F184" s="37">
        <v>907.83999999999992</v>
      </c>
      <c r="G184" s="37">
        <v>200</v>
      </c>
      <c r="H184" s="37">
        <f>SUM(D184:G184)</f>
        <v>4700.34</v>
      </c>
      <c r="I184" s="15" t="s">
        <v>37</v>
      </c>
    </row>
    <row r="185" spans="1:9" x14ac:dyDescent="0.25">
      <c r="A185" s="36" t="s">
        <v>88</v>
      </c>
      <c r="B185" s="36" t="s">
        <v>107</v>
      </c>
      <c r="C185" s="36" t="s">
        <v>120</v>
      </c>
      <c r="D185" s="37">
        <v>4000</v>
      </c>
      <c r="E185" s="37">
        <v>790</v>
      </c>
      <c r="F185" s="37">
        <v>1105.3399999999999</v>
      </c>
      <c r="G185" s="37">
        <v>200</v>
      </c>
      <c r="H185" s="37">
        <f>SUM(D185:G185)</f>
        <v>6095.34</v>
      </c>
      <c r="I185" s="16" t="s">
        <v>36</v>
      </c>
    </row>
    <row r="186" spans="1:9" x14ac:dyDescent="0.25">
      <c r="A186" s="36" t="s">
        <v>93</v>
      </c>
      <c r="B186" s="36" t="s">
        <v>107</v>
      </c>
      <c r="C186" s="36" t="s">
        <v>27</v>
      </c>
      <c r="D186" s="37">
        <v>6000</v>
      </c>
      <c r="E186" s="37">
        <v>1185</v>
      </c>
      <c r="F186" s="37">
        <v>1500.34</v>
      </c>
      <c r="G186" s="37">
        <v>200</v>
      </c>
      <c r="H186" s="37">
        <f>SUM(D186:G186)</f>
        <v>8885.34</v>
      </c>
      <c r="I186" s="14" t="s">
        <v>34</v>
      </c>
    </row>
    <row r="187" spans="1:9" x14ac:dyDescent="0.25">
      <c r="A187" s="36" t="s">
        <v>87</v>
      </c>
      <c r="B187" s="36" t="s">
        <v>107</v>
      </c>
      <c r="C187" s="36" t="s">
        <v>27</v>
      </c>
      <c r="D187" s="37">
        <v>4000</v>
      </c>
      <c r="E187" s="37">
        <v>790</v>
      </c>
      <c r="F187" s="37">
        <v>1105.3399999999999</v>
      </c>
      <c r="G187" s="37">
        <v>200</v>
      </c>
      <c r="H187" s="37">
        <f>SUM(D187:G187)</f>
        <v>6095.34</v>
      </c>
      <c r="I187" s="14" t="s">
        <v>34</v>
      </c>
    </row>
    <row r="188" spans="1:9" x14ac:dyDescent="0.25">
      <c r="A188" s="36" t="s">
        <v>97</v>
      </c>
      <c r="B188" s="36" t="s">
        <v>107</v>
      </c>
      <c r="C188" s="36" t="s">
        <v>121</v>
      </c>
      <c r="D188" s="37">
        <v>4500</v>
      </c>
      <c r="E188" s="37">
        <v>888.75</v>
      </c>
      <c r="F188" s="37">
        <v>1204.0899999999999</v>
      </c>
      <c r="G188" s="37">
        <v>200</v>
      </c>
      <c r="H188" s="37">
        <f>SUM(D188:G188)</f>
        <v>6792.84</v>
      </c>
      <c r="I188" s="16" t="s">
        <v>36</v>
      </c>
    </row>
    <row r="189" spans="1:9" x14ac:dyDescent="0.25">
      <c r="A189" s="36" t="s">
        <v>92</v>
      </c>
      <c r="B189" s="36" t="s">
        <v>107</v>
      </c>
      <c r="C189" s="36" t="s">
        <v>121</v>
      </c>
      <c r="D189" s="37">
        <v>4700</v>
      </c>
      <c r="E189" s="37">
        <v>928.25</v>
      </c>
      <c r="F189" s="37">
        <v>1243.5899999999999</v>
      </c>
      <c r="G189" s="37">
        <v>200</v>
      </c>
      <c r="H189" s="37">
        <f>SUM(D189:G189)</f>
        <v>7071.84</v>
      </c>
      <c r="I189" s="15" t="s">
        <v>37</v>
      </c>
    </row>
    <row r="190" spans="1:9" x14ac:dyDescent="0.25">
      <c r="A190" s="36" t="s">
        <v>95</v>
      </c>
      <c r="B190" s="36" t="s">
        <v>107</v>
      </c>
      <c r="C190" s="36" t="s">
        <v>27</v>
      </c>
      <c r="D190" s="37">
        <v>3900</v>
      </c>
      <c r="E190" s="37">
        <v>770.25</v>
      </c>
      <c r="F190" s="37">
        <v>1085.5899999999999</v>
      </c>
      <c r="G190" s="37">
        <v>200</v>
      </c>
      <c r="H190" s="37">
        <f>SUM(D190:G190)</f>
        <v>5955.84</v>
      </c>
      <c r="I190" s="15" t="s">
        <v>37</v>
      </c>
    </row>
    <row r="191" spans="1:9" x14ac:dyDescent="0.25">
      <c r="A191" s="36" t="s">
        <v>94</v>
      </c>
      <c r="B191" s="36" t="s">
        <v>107</v>
      </c>
      <c r="C191" s="36" t="s">
        <v>120</v>
      </c>
      <c r="D191" s="37">
        <v>5100</v>
      </c>
      <c r="E191" s="37">
        <v>1007.25</v>
      </c>
      <c r="F191" s="37">
        <v>1322.59</v>
      </c>
      <c r="G191" s="37">
        <v>200</v>
      </c>
      <c r="H191" s="37">
        <f>SUM(D191:G191)</f>
        <v>7629.84</v>
      </c>
      <c r="I191" s="14" t="s">
        <v>34</v>
      </c>
    </row>
    <row r="192" spans="1:9" x14ac:dyDescent="0.25">
      <c r="A192" s="36" t="s">
        <v>85</v>
      </c>
      <c r="B192" s="36" t="s">
        <v>107</v>
      </c>
      <c r="C192" s="36" t="s">
        <v>121</v>
      </c>
      <c r="D192" s="37">
        <v>2000</v>
      </c>
      <c r="E192" s="37">
        <v>395</v>
      </c>
      <c r="F192" s="37">
        <v>710.33999999999992</v>
      </c>
      <c r="G192" s="37">
        <v>200</v>
      </c>
      <c r="H192" s="37">
        <f>SUM(D192:G192)</f>
        <v>3305.34</v>
      </c>
      <c r="I192" s="15" t="s">
        <v>37</v>
      </c>
    </row>
    <row r="193" spans="1:9" x14ac:dyDescent="0.25">
      <c r="A193" s="36" t="s">
        <v>86</v>
      </c>
      <c r="B193" s="36" t="s">
        <v>107</v>
      </c>
      <c r="C193" s="36" t="s">
        <v>27</v>
      </c>
      <c r="D193" s="37">
        <v>3800</v>
      </c>
      <c r="E193" s="37">
        <v>750.5</v>
      </c>
      <c r="F193" s="37">
        <v>1065.8399999999999</v>
      </c>
      <c r="G193" s="37">
        <v>200</v>
      </c>
      <c r="H193" s="37">
        <f>SUM(D193:G193)</f>
        <v>5816.34</v>
      </c>
      <c r="I193" s="16" t="s">
        <v>36</v>
      </c>
    </row>
    <row r="194" spans="1:9" x14ac:dyDescent="0.25">
      <c r="A194" s="36" t="s">
        <v>89</v>
      </c>
      <c r="B194" s="36" t="s">
        <v>107</v>
      </c>
      <c r="C194" s="36" t="s">
        <v>27</v>
      </c>
      <c r="D194" s="37">
        <v>4650</v>
      </c>
      <c r="E194" s="37">
        <v>918.375</v>
      </c>
      <c r="F194" s="37">
        <v>1233.7149999999999</v>
      </c>
      <c r="G194" s="37">
        <v>200</v>
      </c>
      <c r="H194" s="37">
        <f>SUM(D194:G194)</f>
        <v>7002.09</v>
      </c>
      <c r="I194" s="15" t="s">
        <v>37</v>
      </c>
    </row>
    <row r="195" spans="1:9" x14ac:dyDescent="0.25">
      <c r="A195" s="36" t="s">
        <v>96</v>
      </c>
      <c r="B195" s="36" t="s">
        <v>107</v>
      </c>
      <c r="C195" s="36" t="s">
        <v>120</v>
      </c>
      <c r="D195" s="37">
        <v>1800</v>
      </c>
      <c r="E195" s="37">
        <v>355.5</v>
      </c>
      <c r="F195" s="37">
        <v>670.83999999999992</v>
      </c>
      <c r="G195" s="37">
        <v>200</v>
      </c>
      <c r="H195" s="37">
        <f>SUM(D195:G195)</f>
        <v>3026.34</v>
      </c>
      <c r="I195" s="16" t="s">
        <v>36</v>
      </c>
    </row>
    <row r="196" spans="1:9" x14ac:dyDescent="0.25">
      <c r="A196" s="36" t="s">
        <v>90</v>
      </c>
      <c r="B196" s="36" t="s">
        <v>107</v>
      </c>
      <c r="C196" s="36" t="s">
        <v>120</v>
      </c>
      <c r="D196" s="37">
        <v>3000</v>
      </c>
      <c r="E196" s="37">
        <v>592.5</v>
      </c>
      <c r="F196" s="37">
        <v>907.83999999999992</v>
      </c>
      <c r="G196" s="37">
        <v>200</v>
      </c>
      <c r="H196" s="37">
        <f>SUM(D196:G196)</f>
        <v>4700.34</v>
      </c>
      <c r="I196" s="15" t="s">
        <v>37</v>
      </c>
    </row>
    <row r="197" spans="1:9" x14ac:dyDescent="0.25">
      <c r="A197" s="36" t="s">
        <v>84</v>
      </c>
      <c r="B197" s="36" t="s">
        <v>107</v>
      </c>
      <c r="C197" s="36" t="s">
        <v>27</v>
      </c>
      <c r="D197" s="37">
        <v>3000</v>
      </c>
      <c r="E197" s="37">
        <v>592.5</v>
      </c>
      <c r="F197" s="37">
        <v>907.83999999999992</v>
      </c>
      <c r="G197" s="37">
        <v>200</v>
      </c>
      <c r="H197" s="37">
        <f>SUM(D197:G197)</f>
        <v>4700.34</v>
      </c>
      <c r="I197" s="14" t="s">
        <v>34</v>
      </c>
    </row>
    <row r="198" spans="1:9" x14ac:dyDescent="0.25">
      <c r="A198" s="36" t="s">
        <v>99</v>
      </c>
      <c r="B198" s="36" t="s">
        <v>107</v>
      </c>
      <c r="C198" s="36" t="s">
        <v>121</v>
      </c>
      <c r="D198" s="37">
        <v>1800</v>
      </c>
      <c r="E198" s="37">
        <v>355.5</v>
      </c>
      <c r="F198" s="37">
        <v>670.83999999999992</v>
      </c>
      <c r="G198" s="37">
        <v>200</v>
      </c>
      <c r="H198" s="37">
        <f>SUM(D198:G198)</f>
        <v>3026.34</v>
      </c>
      <c r="I198" s="15" t="s">
        <v>37</v>
      </c>
    </row>
    <row r="199" spans="1:9" x14ac:dyDescent="0.25">
      <c r="A199" s="36" t="s">
        <v>98</v>
      </c>
      <c r="B199" s="36" t="s">
        <v>107</v>
      </c>
      <c r="C199" s="36" t="s">
        <v>121</v>
      </c>
      <c r="D199" s="37">
        <v>1500</v>
      </c>
      <c r="E199" s="37">
        <v>296.25</v>
      </c>
      <c r="F199" s="37">
        <v>611.58999999999992</v>
      </c>
      <c r="G199" s="37">
        <v>200</v>
      </c>
      <c r="H199" s="37">
        <f>SUM(D199:G199)</f>
        <v>2607.84</v>
      </c>
      <c r="I199" s="14" t="s">
        <v>34</v>
      </c>
    </row>
  </sheetData>
  <autoFilter ref="A7:I199">
    <sortState ref="A8:I199">
      <sortCondition ref="B7:B1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EXPORT</vt:lpstr>
      <vt:lpstr>LOCAL</vt:lpstr>
      <vt:lpstr>DEPENSES</vt:lpstr>
      <vt:lpstr>SALAIRES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2024-02-23T23:16:02Z</dcterms:modified>
</cp:coreProperties>
</file>